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File 2025\"/>
    </mc:Choice>
  </mc:AlternateContent>
  <xr:revisionPtr revIDLastSave="0" documentId="8_{51B17367-46F1-4A13-9B1E-C174640C370C}" xr6:coauthVersionLast="47" xr6:coauthVersionMax="47" xr10:uidLastSave="{00000000-0000-0000-0000-000000000000}"/>
  <bookViews>
    <workbookView xWindow="-120" yWindow="-120" windowWidth="21840" windowHeight="13140" xr2:uid="{E1D9D50C-52CD-4AC3-B857-0A1E75E66715}"/>
  </bookViews>
  <sheets>
    <sheet name="DATA PENDUDUK" sheetId="1" r:id="rId1"/>
  </sheets>
  <definedNames>
    <definedName name="Slicer_ALAMA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29" i="1" l="1"/>
  <c r="A1929" i="1"/>
  <c r="K1928" i="1"/>
  <c r="A1928" i="1"/>
  <c r="K1927" i="1"/>
  <c r="A1927" i="1"/>
  <c r="K1926" i="1"/>
  <c r="A1926" i="1"/>
  <c r="K1925" i="1"/>
  <c r="A1925" i="1"/>
  <c r="K1924" i="1"/>
  <c r="A1924" i="1"/>
  <c r="K1923" i="1"/>
  <c r="A1923" i="1"/>
  <c r="K1922" i="1"/>
  <c r="A1922" i="1"/>
  <c r="K1921" i="1"/>
  <c r="A1921" i="1"/>
  <c r="K1920" i="1"/>
  <c r="A1920" i="1"/>
  <c r="K1919" i="1"/>
  <c r="A1919" i="1"/>
  <c r="K1918" i="1"/>
  <c r="A1918" i="1"/>
  <c r="K1917" i="1"/>
  <c r="A1917" i="1"/>
  <c r="K1916" i="1"/>
  <c r="A1916" i="1"/>
  <c r="K1915" i="1"/>
  <c r="A1915" i="1"/>
  <c r="K1914" i="1"/>
  <c r="A1914" i="1"/>
  <c r="K1913" i="1"/>
  <c r="A1913" i="1"/>
  <c r="K1912" i="1"/>
  <c r="A1912" i="1"/>
  <c r="K1911" i="1"/>
  <c r="A1911" i="1"/>
  <c r="K1910" i="1"/>
  <c r="A1910" i="1"/>
  <c r="K1909" i="1"/>
  <c r="A1909" i="1"/>
  <c r="K1908" i="1"/>
  <c r="A1908" i="1"/>
  <c r="K1907" i="1"/>
  <c r="A1907" i="1"/>
  <c r="K1906" i="1"/>
  <c r="A1906" i="1"/>
  <c r="K1905" i="1"/>
  <c r="A1905" i="1"/>
  <c r="K1904" i="1"/>
  <c r="A1904" i="1"/>
  <c r="K1903" i="1"/>
  <c r="A1903" i="1"/>
  <c r="K1902" i="1"/>
  <c r="A1902" i="1"/>
  <c r="K1901" i="1"/>
  <c r="A1901" i="1"/>
  <c r="K1900" i="1"/>
  <c r="A1900" i="1"/>
  <c r="K1899" i="1"/>
  <c r="A1899" i="1"/>
  <c r="K1898" i="1"/>
  <c r="A1898" i="1"/>
  <c r="K1897" i="1"/>
  <c r="A1897" i="1"/>
  <c r="K1896" i="1"/>
  <c r="A1896" i="1"/>
  <c r="K1895" i="1"/>
  <c r="A1895" i="1"/>
  <c r="K1894" i="1"/>
  <c r="A1894" i="1"/>
  <c r="K1893" i="1"/>
  <c r="A1893" i="1"/>
  <c r="K1892" i="1"/>
  <c r="A1892" i="1"/>
  <c r="K1891" i="1"/>
  <c r="A1891" i="1"/>
  <c r="K1890" i="1"/>
  <c r="A1890" i="1"/>
  <c r="K1889" i="1"/>
  <c r="A1889" i="1"/>
  <c r="K1888" i="1"/>
  <c r="A1888" i="1"/>
  <c r="K1887" i="1"/>
  <c r="A1887" i="1"/>
  <c r="K1886" i="1"/>
  <c r="A1886" i="1"/>
  <c r="K1885" i="1"/>
  <c r="A1885" i="1"/>
  <c r="K1884" i="1"/>
  <c r="A1884" i="1"/>
  <c r="K1883" i="1"/>
  <c r="A1883" i="1"/>
  <c r="K1882" i="1"/>
  <c r="A1882" i="1"/>
  <c r="K1881" i="1"/>
  <c r="A1881" i="1"/>
  <c r="K1880" i="1"/>
  <c r="A1880" i="1"/>
  <c r="K1879" i="1"/>
  <c r="A1879" i="1"/>
  <c r="K1878" i="1"/>
  <c r="A1878" i="1"/>
  <c r="K1877" i="1"/>
  <c r="A1877" i="1"/>
  <c r="K1876" i="1"/>
  <c r="A1876" i="1"/>
  <c r="K1875" i="1"/>
  <c r="A1875" i="1"/>
  <c r="K1874" i="1"/>
  <c r="A1874" i="1"/>
  <c r="K1873" i="1"/>
  <c r="A1873" i="1"/>
  <c r="K1872" i="1"/>
  <c r="A1872" i="1"/>
  <c r="K1871" i="1"/>
  <c r="A1871" i="1"/>
  <c r="K1870" i="1"/>
  <c r="A1870" i="1"/>
  <c r="K1869" i="1"/>
  <c r="A1869" i="1"/>
  <c r="K1868" i="1"/>
  <c r="A1868" i="1"/>
  <c r="K1867" i="1"/>
  <c r="A1867" i="1"/>
  <c r="K1866" i="1"/>
  <c r="A1866" i="1"/>
  <c r="K1865" i="1"/>
  <c r="A1865" i="1"/>
  <c r="K1864" i="1"/>
  <c r="A1864" i="1"/>
  <c r="K1863" i="1"/>
  <c r="A1863" i="1"/>
  <c r="K1862" i="1"/>
  <c r="A1862" i="1"/>
  <c r="K1861" i="1"/>
  <c r="A1861" i="1"/>
  <c r="K1860" i="1"/>
  <c r="A1860" i="1"/>
  <c r="K1859" i="1"/>
  <c r="A1859" i="1"/>
  <c r="K1858" i="1"/>
  <c r="A1858" i="1"/>
  <c r="K1857" i="1"/>
  <c r="A1857" i="1"/>
  <c r="K1856" i="1"/>
  <c r="A1856" i="1"/>
  <c r="K1855" i="1"/>
  <c r="A1855" i="1"/>
  <c r="K1854" i="1"/>
  <c r="A1854" i="1"/>
  <c r="K1853" i="1"/>
  <c r="A1853" i="1"/>
  <c r="K1852" i="1"/>
  <c r="A1852" i="1"/>
  <c r="K1851" i="1"/>
  <c r="A1851" i="1"/>
  <c r="K1850" i="1"/>
  <c r="A1850" i="1"/>
  <c r="K1849" i="1"/>
  <c r="A1849" i="1"/>
  <c r="K1848" i="1"/>
  <c r="A1848" i="1"/>
  <c r="K1847" i="1"/>
  <c r="A1847" i="1"/>
  <c r="K1846" i="1"/>
  <c r="A1846" i="1"/>
  <c r="K1845" i="1"/>
  <c r="A1845" i="1"/>
  <c r="K1844" i="1"/>
  <c r="A1844" i="1"/>
  <c r="K1843" i="1"/>
  <c r="A1843" i="1"/>
  <c r="K1842" i="1"/>
  <c r="A1842" i="1"/>
  <c r="K1841" i="1"/>
  <c r="A1841" i="1"/>
  <c r="K1840" i="1"/>
  <c r="A1840" i="1"/>
  <c r="K1839" i="1"/>
  <c r="A1839" i="1"/>
  <c r="K1838" i="1"/>
  <c r="A1838" i="1"/>
  <c r="K1837" i="1"/>
  <c r="A1837" i="1"/>
  <c r="K1836" i="1"/>
  <c r="A1836" i="1"/>
  <c r="K1835" i="1"/>
  <c r="A1835" i="1"/>
  <c r="K1834" i="1"/>
  <c r="A1834" i="1"/>
  <c r="K1833" i="1"/>
  <c r="A1833" i="1"/>
  <c r="K1832" i="1"/>
  <c r="A1832" i="1"/>
  <c r="K1831" i="1"/>
  <c r="A1831" i="1"/>
  <c r="K1830" i="1"/>
  <c r="A1830" i="1"/>
  <c r="K1829" i="1"/>
  <c r="A1829" i="1"/>
  <c r="K1828" i="1"/>
  <c r="A1828" i="1"/>
  <c r="K1827" i="1"/>
  <c r="A1827" i="1"/>
  <c r="K1826" i="1"/>
  <c r="A1826" i="1"/>
  <c r="K1825" i="1"/>
  <c r="A1825" i="1"/>
  <c r="K1824" i="1"/>
  <c r="A1824" i="1"/>
  <c r="K1823" i="1"/>
  <c r="A1823" i="1"/>
  <c r="K1822" i="1"/>
  <c r="A1822" i="1"/>
  <c r="K1821" i="1"/>
  <c r="A1821" i="1"/>
  <c r="K1820" i="1"/>
  <c r="A1820" i="1"/>
  <c r="K1819" i="1"/>
  <c r="A1819" i="1"/>
  <c r="K1818" i="1"/>
  <c r="A1818" i="1"/>
  <c r="K1817" i="1"/>
  <c r="A1817" i="1"/>
  <c r="K1816" i="1"/>
  <c r="A1816" i="1"/>
  <c r="K1815" i="1"/>
  <c r="A1815" i="1"/>
  <c r="K1814" i="1"/>
  <c r="A1814" i="1"/>
  <c r="K1813" i="1"/>
  <c r="A1813" i="1"/>
  <c r="K1812" i="1"/>
  <c r="A1812" i="1"/>
  <c r="K1811" i="1"/>
  <c r="A1811" i="1"/>
  <c r="K1810" i="1"/>
  <c r="A1810" i="1"/>
  <c r="K1809" i="1"/>
  <c r="A1809" i="1"/>
  <c r="K1808" i="1"/>
  <c r="A1808" i="1"/>
  <c r="K1807" i="1"/>
  <c r="A1807" i="1"/>
  <c r="K1806" i="1"/>
  <c r="A1806" i="1"/>
  <c r="K1805" i="1"/>
  <c r="A1805" i="1"/>
  <c r="K1804" i="1"/>
  <c r="A1804" i="1"/>
  <c r="K1803" i="1"/>
  <c r="A1803" i="1"/>
  <c r="K1802" i="1"/>
  <c r="A1802" i="1"/>
  <c r="K1801" i="1"/>
  <c r="A1801" i="1"/>
  <c r="K1800" i="1"/>
  <c r="A1800" i="1"/>
  <c r="K1799" i="1"/>
  <c r="A1799" i="1"/>
  <c r="K1798" i="1"/>
  <c r="A1798" i="1"/>
  <c r="K1797" i="1"/>
  <c r="A1797" i="1"/>
  <c r="K1796" i="1"/>
  <c r="A1796" i="1"/>
  <c r="K1795" i="1"/>
  <c r="A1795" i="1"/>
  <c r="K1794" i="1"/>
  <c r="A1794" i="1"/>
  <c r="K1793" i="1"/>
  <c r="A1793" i="1"/>
  <c r="K1792" i="1"/>
  <c r="A1792" i="1"/>
  <c r="K1791" i="1"/>
  <c r="A1791" i="1"/>
  <c r="K1790" i="1"/>
  <c r="A1790" i="1"/>
  <c r="K1789" i="1"/>
  <c r="A1789" i="1"/>
  <c r="K1788" i="1"/>
  <c r="A1788" i="1"/>
  <c r="K1787" i="1"/>
  <c r="A1787" i="1"/>
  <c r="K1786" i="1"/>
  <c r="A1786" i="1"/>
  <c r="K1785" i="1"/>
  <c r="A1785" i="1"/>
  <c r="K1784" i="1"/>
  <c r="A1784" i="1"/>
  <c r="K1783" i="1"/>
  <c r="A1783" i="1"/>
  <c r="K1782" i="1"/>
  <c r="A1782" i="1"/>
  <c r="K1781" i="1"/>
  <c r="A1781" i="1"/>
  <c r="K1780" i="1"/>
  <c r="A1780" i="1"/>
  <c r="K1779" i="1"/>
  <c r="A1779" i="1"/>
  <c r="K1778" i="1"/>
  <c r="A1778" i="1"/>
  <c r="K1777" i="1"/>
  <c r="A1777" i="1"/>
  <c r="K1776" i="1"/>
  <c r="A1776" i="1"/>
  <c r="K1775" i="1"/>
  <c r="A1775" i="1"/>
  <c r="K1774" i="1"/>
  <c r="A1774" i="1"/>
  <c r="K1773" i="1"/>
  <c r="A1773" i="1"/>
  <c r="K1772" i="1"/>
  <c r="A1772" i="1"/>
  <c r="K1771" i="1"/>
  <c r="A1771" i="1"/>
  <c r="K1770" i="1"/>
  <c r="A1770" i="1"/>
  <c r="K1769" i="1"/>
  <c r="A1769" i="1"/>
  <c r="K1768" i="1"/>
  <c r="A1768" i="1"/>
  <c r="K1767" i="1"/>
  <c r="A1767" i="1"/>
  <c r="K1766" i="1"/>
  <c r="A1766" i="1"/>
  <c r="K1765" i="1"/>
  <c r="A1765" i="1"/>
  <c r="K1764" i="1"/>
  <c r="A1764" i="1"/>
  <c r="K1763" i="1"/>
  <c r="A1763" i="1"/>
  <c r="K1762" i="1"/>
  <c r="A1762" i="1"/>
  <c r="K1761" i="1"/>
  <c r="A1761" i="1"/>
  <c r="K1760" i="1"/>
  <c r="A1760" i="1"/>
  <c r="K1759" i="1"/>
  <c r="A1759" i="1"/>
  <c r="K1758" i="1"/>
  <c r="A1758" i="1"/>
  <c r="K1757" i="1"/>
  <c r="A1757" i="1"/>
  <c r="K1756" i="1"/>
  <c r="A1756" i="1"/>
  <c r="K1755" i="1"/>
  <c r="A1755" i="1"/>
  <c r="K1754" i="1"/>
  <c r="A1754" i="1"/>
  <c r="K1753" i="1"/>
  <c r="A1753" i="1"/>
  <c r="K1752" i="1"/>
  <c r="A1752" i="1"/>
  <c r="K1751" i="1"/>
  <c r="A1751" i="1"/>
  <c r="K1750" i="1"/>
  <c r="A1750" i="1"/>
  <c r="K1749" i="1"/>
  <c r="A1749" i="1"/>
  <c r="K1748" i="1"/>
  <c r="A1748" i="1"/>
  <c r="K1747" i="1"/>
  <c r="A1747" i="1"/>
  <c r="K1746" i="1"/>
  <c r="A1746" i="1"/>
  <c r="K1745" i="1"/>
  <c r="A1745" i="1"/>
  <c r="K1744" i="1"/>
  <c r="A1744" i="1"/>
  <c r="K1743" i="1"/>
  <c r="A1743" i="1"/>
  <c r="K1742" i="1"/>
  <c r="A1742" i="1"/>
  <c r="K1741" i="1"/>
  <c r="A1741" i="1"/>
  <c r="K1740" i="1"/>
  <c r="A1740" i="1"/>
  <c r="K1739" i="1"/>
  <c r="A1739" i="1"/>
  <c r="K1738" i="1"/>
  <c r="A1738" i="1"/>
  <c r="K1737" i="1"/>
  <c r="A1737" i="1"/>
  <c r="K1736" i="1"/>
  <c r="A1736" i="1"/>
  <c r="K1735" i="1"/>
  <c r="A1735" i="1"/>
  <c r="K1734" i="1"/>
  <c r="A1734" i="1"/>
  <c r="K1733" i="1"/>
  <c r="A1733" i="1"/>
  <c r="K1732" i="1"/>
  <c r="A1732" i="1"/>
  <c r="K1731" i="1"/>
  <c r="A1731" i="1"/>
  <c r="K1730" i="1"/>
  <c r="A1730" i="1"/>
  <c r="K1729" i="1"/>
  <c r="A1729" i="1"/>
  <c r="K1728" i="1"/>
  <c r="A1728" i="1"/>
  <c r="K1727" i="1"/>
  <c r="A1727" i="1"/>
  <c r="K1726" i="1"/>
  <c r="A1726" i="1"/>
  <c r="K1725" i="1"/>
  <c r="A1725" i="1"/>
  <c r="K1724" i="1"/>
  <c r="A1724" i="1"/>
  <c r="K1723" i="1"/>
  <c r="A1723" i="1"/>
  <c r="K1722" i="1"/>
  <c r="A1722" i="1"/>
  <c r="K1721" i="1"/>
  <c r="A1721" i="1"/>
  <c r="K1720" i="1"/>
  <c r="A1720" i="1"/>
  <c r="K1719" i="1"/>
  <c r="A1719" i="1"/>
  <c r="K1718" i="1"/>
  <c r="A1718" i="1"/>
  <c r="K1717" i="1"/>
  <c r="A1717" i="1"/>
  <c r="K1716" i="1"/>
  <c r="A1716" i="1"/>
  <c r="K1715" i="1"/>
  <c r="A1715" i="1"/>
  <c r="K1714" i="1"/>
  <c r="A1714" i="1"/>
  <c r="K1713" i="1"/>
  <c r="A1713" i="1"/>
  <c r="K1712" i="1"/>
  <c r="A1712" i="1"/>
  <c r="K1711" i="1"/>
  <c r="A1711" i="1"/>
  <c r="K1710" i="1"/>
  <c r="A1710" i="1"/>
  <c r="K1709" i="1"/>
  <c r="A1709" i="1"/>
  <c r="K1708" i="1"/>
  <c r="A1708" i="1"/>
  <c r="K1707" i="1"/>
  <c r="A1707" i="1"/>
  <c r="K1706" i="1"/>
  <c r="A1706" i="1"/>
  <c r="K1705" i="1"/>
  <c r="A1705" i="1"/>
  <c r="K1704" i="1"/>
  <c r="A1704" i="1"/>
  <c r="K1703" i="1"/>
  <c r="A1703" i="1"/>
  <c r="K1702" i="1"/>
  <c r="A1702" i="1"/>
  <c r="K1701" i="1"/>
  <c r="A1701" i="1"/>
  <c r="K1700" i="1"/>
  <c r="A1700" i="1"/>
  <c r="K1699" i="1"/>
  <c r="A1699" i="1"/>
  <c r="K1698" i="1"/>
  <c r="A1698" i="1"/>
  <c r="K1697" i="1"/>
  <c r="A1697" i="1"/>
  <c r="K1696" i="1"/>
  <c r="A1696" i="1"/>
  <c r="K1695" i="1"/>
  <c r="A1695" i="1"/>
  <c r="K1694" i="1"/>
  <c r="A1694" i="1"/>
  <c r="K1693" i="1"/>
  <c r="A1693" i="1"/>
  <c r="K1692" i="1"/>
  <c r="A1692" i="1"/>
  <c r="K1691" i="1"/>
  <c r="A1691" i="1"/>
  <c r="K1690" i="1"/>
  <c r="A1690" i="1"/>
  <c r="K1689" i="1"/>
  <c r="A1689" i="1"/>
  <c r="K1688" i="1"/>
  <c r="A1688" i="1"/>
  <c r="K1687" i="1"/>
  <c r="A1687" i="1"/>
  <c r="K1686" i="1"/>
  <c r="A1686" i="1"/>
  <c r="K1685" i="1"/>
  <c r="A1685" i="1"/>
  <c r="K1684" i="1"/>
  <c r="A1684" i="1"/>
  <c r="K1683" i="1"/>
  <c r="A1683" i="1"/>
  <c r="K1682" i="1"/>
  <c r="A1682" i="1"/>
  <c r="K1681" i="1"/>
  <c r="A1681" i="1"/>
  <c r="K1680" i="1"/>
  <c r="A1680" i="1"/>
  <c r="K1679" i="1"/>
  <c r="A1679" i="1"/>
  <c r="K1678" i="1"/>
  <c r="A1678" i="1"/>
  <c r="K1677" i="1"/>
  <c r="A1677" i="1"/>
  <c r="K1676" i="1"/>
  <c r="A1676" i="1"/>
  <c r="K1675" i="1"/>
  <c r="A1675" i="1"/>
  <c r="K1674" i="1"/>
  <c r="A1674" i="1"/>
  <c r="K1673" i="1"/>
  <c r="A1673" i="1"/>
  <c r="K1672" i="1"/>
  <c r="A1672" i="1"/>
  <c r="K1671" i="1"/>
  <c r="A1671" i="1"/>
  <c r="K1670" i="1"/>
  <c r="A1670" i="1"/>
  <c r="K1669" i="1"/>
  <c r="A1669" i="1"/>
  <c r="K1668" i="1"/>
  <c r="A1668" i="1"/>
  <c r="K1667" i="1"/>
  <c r="A1667" i="1"/>
  <c r="K1666" i="1"/>
  <c r="A1666" i="1"/>
  <c r="K1665" i="1"/>
  <c r="A1665" i="1"/>
  <c r="K1664" i="1"/>
  <c r="A1664" i="1"/>
  <c r="K1663" i="1"/>
  <c r="A1663" i="1"/>
  <c r="K1662" i="1"/>
  <c r="A1662" i="1"/>
  <c r="K1661" i="1"/>
  <c r="A1661" i="1"/>
  <c r="K1660" i="1"/>
  <c r="A1660" i="1"/>
  <c r="K1659" i="1"/>
  <c r="A1659" i="1"/>
  <c r="K1658" i="1"/>
  <c r="A1658" i="1"/>
  <c r="K1657" i="1"/>
  <c r="A1657" i="1"/>
  <c r="K1656" i="1"/>
  <c r="A1656" i="1"/>
  <c r="K1655" i="1"/>
  <c r="A1655" i="1"/>
  <c r="K1654" i="1"/>
  <c r="A1654" i="1"/>
  <c r="K1653" i="1"/>
  <c r="A1653" i="1"/>
  <c r="K1652" i="1"/>
  <c r="A1652" i="1"/>
  <c r="K1651" i="1"/>
  <c r="A1651" i="1"/>
  <c r="K1650" i="1"/>
  <c r="A1650" i="1"/>
  <c r="K1649" i="1"/>
  <c r="A1649" i="1"/>
  <c r="K1648" i="1"/>
  <c r="A1648" i="1"/>
  <c r="K1647" i="1"/>
  <c r="A1647" i="1"/>
  <c r="K1646" i="1"/>
  <c r="A1646" i="1"/>
  <c r="K1645" i="1"/>
  <c r="A1645" i="1"/>
  <c r="K1644" i="1"/>
  <c r="A1644" i="1"/>
  <c r="K1643" i="1"/>
  <c r="A1643" i="1"/>
  <c r="K1642" i="1"/>
  <c r="A1642" i="1"/>
  <c r="K1641" i="1"/>
  <c r="A1641" i="1"/>
  <c r="K1640" i="1"/>
  <c r="A1640" i="1"/>
  <c r="K1639" i="1"/>
  <c r="A1639" i="1"/>
  <c r="K1638" i="1"/>
  <c r="A1638" i="1"/>
  <c r="K1637" i="1"/>
  <c r="A1637" i="1"/>
  <c r="K1636" i="1"/>
  <c r="A1636" i="1"/>
  <c r="K1635" i="1"/>
  <c r="A1635" i="1"/>
  <c r="K1634" i="1"/>
  <c r="A1634" i="1"/>
  <c r="K1633" i="1"/>
  <c r="A1633" i="1"/>
  <c r="K1632" i="1"/>
  <c r="A1632" i="1"/>
  <c r="K1631" i="1"/>
  <c r="A1631" i="1"/>
  <c r="K1630" i="1"/>
  <c r="A1630" i="1"/>
  <c r="K1629" i="1"/>
  <c r="A1629" i="1"/>
  <c r="K1628" i="1"/>
  <c r="A1628" i="1"/>
  <c r="K1627" i="1"/>
  <c r="A1627" i="1"/>
  <c r="K1626" i="1"/>
  <c r="A1626" i="1"/>
  <c r="K1625" i="1"/>
  <c r="A1625" i="1"/>
  <c r="K1624" i="1"/>
  <c r="A1624" i="1"/>
  <c r="K1623" i="1"/>
  <c r="A1623" i="1"/>
  <c r="K1622" i="1"/>
  <c r="A1622" i="1"/>
  <c r="K1621" i="1"/>
  <c r="A1621" i="1"/>
  <c r="K1620" i="1"/>
  <c r="A1620" i="1"/>
  <c r="K1619" i="1"/>
  <c r="A1619" i="1"/>
  <c r="K1618" i="1"/>
  <c r="A1618" i="1"/>
  <c r="K1617" i="1"/>
  <c r="A1617" i="1"/>
  <c r="K1616" i="1"/>
  <c r="A1616" i="1"/>
  <c r="K1615" i="1"/>
  <c r="A1615" i="1"/>
  <c r="K1614" i="1"/>
  <c r="A1614" i="1"/>
  <c r="K1613" i="1"/>
  <c r="A1613" i="1"/>
  <c r="K1612" i="1"/>
  <c r="A1612" i="1"/>
  <c r="K1611" i="1"/>
  <c r="A1611" i="1"/>
  <c r="K1610" i="1"/>
  <c r="A1610" i="1"/>
  <c r="K1609" i="1"/>
  <c r="A1609" i="1"/>
  <c r="K1608" i="1"/>
  <c r="A1608" i="1"/>
  <c r="K1607" i="1"/>
  <c r="A1607" i="1"/>
  <c r="K1606" i="1"/>
  <c r="A1606" i="1"/>
  <c r="K1605" i="1"/>
  <c r="A1605" i="1"/>
  <c r="K1604" i="1"/>
  <c r="A1604" i="1"/>
  <c r="K1603" i="1"/>
  <c r="A1603" i="1"/>
  <c r="K1602" i="1"/>
  <c r="A1602" i="1"/>
  <c r="K1601" i="1"/>
  <c r="A1601" i="1"/>
  <c r="K1600" i="1"/>
  <c r="A1600" i="1"/>
  <c r="K1599" i="1"/>
  <c r="A1599" i="1"/>
  <c r="K1598" i="1"/>
  <c r="A1598" i="1"/>
  <c r="K1597" i="1"/>
  <c r="A1597" i="1"/>
  <c r="K1596" i="1"/>
  <c r="A1596" i="1"/>
  <c r="K1595" i="1"/>
  <c r="A1595" i="1"/>
  <c r="K1594" i="1"/>
  <c r="A1594" i="1"/>
  <c r="K1593" i="1"/>
  <c r="A1593" i="1"/>
  <c r="K1592" i="1"/>
  <c r="A1592" i="1"/>
  <c r="K1591" i="1"/>
  <c r="A1591" i="1"/>
  <c r="K1590" i="1"/>
  <c r="A1590" i="1"/>
  <c r="K1589" i="1"/>
  <c r="A1589" i="1"/>
  <c r="K1588" i="1"/>
  <c r="A1588" i="1"/>
  <c r="K1587" i="1"/>
  <c r="A1587" i="1"/>
  <c r="K1586" i="1"/>
  <c r="A1586" i="1"/>
  <c r="K1585" i="1"/>
  <c r="A1585" i="1"/>
  <c r="K1584" i="1"/>
  <c r="A1584" i="1"/>
  <c r="K1583" i="1"/>
  <c r="A1583" i="1"/>
  <c r="K1582" i="1"/>
  <c r="A1582" i="1"/>
  <c r="K1581" i="1"/>
  <c r="A1581" i="1"/>
  <c r="K1580" i="1"/>
  <c r="A1580" i="1"/>
  <c r="K1579" i="1"/>
  <c r="A1579" i="1"/>
  <c r="K1578" i="1"/>
  <c r="A1578" i="1"/>
  <c r="K1577" i="1"/>
  <c r="A1577" i="1"/>
  <c r="K1576" i="1"/>
  <c r="A1576" i="1"/>
  <c r="K1575" i="1"/>
  <c r="A1575" i="1"/>
  <c r="K1574" i="1"/>
  <c r="A1574" i="1"/>
  <c r="K1573" i="1"/>
  <c r="A1573" i="1"/>
  <c r="K1572" i="1"/>
  <c r="A1572" i="1"/>
  <c r="K1571" i="1"/>
  <c r="A1571" i="1"/>
  <c r="K1570" i="1"/>
  <c r="A1570" i="1"/>
  <c r="K1569" i="1"/>
  <c r="A1569" i="1"/>
  <c r="K1568" i="1"/>
  <c r="A1568" i="1"/>
  <c r="K1567" i="1"/>
  <c r="A1567" i="1"/>
  <c r="K1566" i="1"/>
  <c r="A1566" i="1"/>
  <c r="K1565" i="1"/>
  <c r="A1565" i="1"/>
  <c r="K1564" i="1"/>
  <c r="A1564" i="1"/>
  <c r="K1563" i="1"/>
  <c r="A1563" i="1"/>
  <c r="K1562" i="1"/>
  <c r="A1562" i="1"/>
  <c r="K1561" i="1"/>
  <c r="A1561" i="1"/>
  <c r="K1560" i="1"/>
  <c r="A1560" i="1"/>
  <c r="K1559" i="1"/>
  <c r="A1559" i="1"/>
  <c r="K1558" i="1"/>
  <c r="A1558" i="1"/>
  <c r="K1557" i="1"/>
  <c r="A1557" i="1"/>
  <c r="K1556" i="1"/>
  <c r="A1556" i="1"/>
  <c r="K1555" i="1"/>
  <c r="A1555" i="1"/>
  <c r="K1554" i="1"/>
  <c r="A1554" i="1"/>
  <c r="K1553" i="1"/>
  <c r="A1553" i="1"/>
  <c r="K1552" i="1"/>
  <c r="A1552" i="1"/>
  <c r="K1551" i="1"/>
  <c r="A1551" i="1"/>
  <c r="K1550" i="1"/>
  <c r="A1550" i="1"/>
  <c r="K1549" i="1"/>
  <c r="A1549" i="1"/>
  <c r="K1548" i="1"/>
  <c r="A1548" i="1"/>
  <c r="K1547" i="1"/>
  <c r="A1547" i="1"/>
  <c r="K1546" i="1"/>
  <c r="A1546" i="1"/>
  <c r="K1545" i="1"/>
  <c r="A1545" i="1"/>
  <c r="K1544" i="1"/>
  <c r="A1544" i="1"/>
  <c r="K1543" i="1"/>
  <c r="A1543" i="1"/>
  <c r="K1542" i="1"/>
  <c r="A1542" i="1"/>
  <c r="K1541" i="1"/>
  <c r="A1541" i="1"/>
  <c r="K1540" i="1"/>
  <c r="A1540" i="1"/>
  <c r="K1539" i="1"/>
  <c r="A1539" i="1"/>
  <c r="K1538" i="1"/>
  <c r="A1538" i="1"/>
  <c r="K1537" i="1"/>
  <c r="A1537" i="1"/>
  <c r="K1536" i="1"/>
  <c r="A1536" i="1"/>
  <c r="K1535" i="1"/>
  <c r="A1535" i="1"/>
  <c r="K1534" i="1"/>
  <c r="A1534" i="1"/>
  <c r="K1533" i="1"/>
  <c r="A1533" i="1"/>
  <c r="K1532" i="1"/>
  <c r="A1532" i="1"/>
  <c r="K1531" i="1"/>
  <c r="A1531" i="1"/>
  <c r="K1530" i="1"/>
  <c r="A1530" i="1"/>
  <c r="K1529" i="1"/>
  <c r="A1529" i="1"/>
  <c r="K1528" i="1"/>
  <c r="A1528" i="1"/>
  <c r="K1527" i="1"/>
  <c r="A1527" i="1"/>
  <c r="K1526" i="1"/>
  <c r="A1526" i="1"/>
  <c r="K1525" i="1"/>
  <c r="A1525" i="1"/>
  <c r="K1524" i="1"/>
  <c r="A1524" i="1"/>
  <c r="K1523" i="1"/>
  <c r="A1523" i="1"/>
  <c r="K1522" i="1"/>
  <c r="A1522" i="1"/>
  <c r="K1521" i="1"/>
  <c r="A1521" i="1"/>
  <c r="K1520" i="1"/>
  <c r="A1520" i="1"/>
  <c r="K1519" i="1"/>
  <c r="A1519" i="1"/>
  <c r="K1518" i="1"/>
  <c r="A1518" i="1"/>
  <c r="K1517" i="1"/>
  <c r="A1517" i="1"/>
  <c r="K1516" i="1"/>
  <c r="A1516" i="1"/>
  <c r="K1515" i="1"/>
  <c r="A1515" i="1"/>
  <c r="K1514" i="1"/>
  <c r="A1514" i="1"/>
  <c r="K1513" i="1"/>
  <c r="A1513" i="1"/>
  <c r="K1512" i="1"/>
  <c r="A1512" i="1"/>
  <c r="K1511" i="1"/>
  <c r="A1511" i="1"/>
  <c r="K1510" i="1"/>
  <c r="A1510" i="1"/>
  <c r="K1509" i="1"/>
  <c r="A1509" i="1"/>
  <c r="K1508" i="1"/>
  <c r="A1508" i="1"/>
  <c r="K1507" i="1"/>
  <c r="A1507" i="1"/>
  <c r="K1506" i="1"/>
  <c r="A1506" i="1"/>
  <c r="K1505" i="1"/>
  <c r="A1505" i="1"/>
  <c r="K1504" i="1"/>
  <c r="A1504" i="1"/>
  <c r="K1503" i="1"/>
  <c r="A1503" i="1"/>
  <c r="K1502" i="1"/>
  <c r="A1502" i="1"/>
  <c r="K1501" i="1"/>
  <c r="A1501" i="1"/>
  <c r="K1500" i="1"/>
  <c r="A1500" i="1"/>
  <c r="K1499" i="1"/>
  <c r="A1499" i="1"/>
  <c r="K1498" i="1"/>
  <c r="A1498" i="1"/>
  <c r="K1497" i="1"/>
  <c r="A1497" i="1"/>
  <c r="K1496" i="1"/>
  <c r="A1496" i="1"/>
  <c r="K1495" i="1"/>
  <c r="A1495" i="1"/>
  <c r="K1494" i="1"/>
  <c r="A1494" i="1"/>
  <c r="K1493" i="1"/>
  <c r="A1493" i="1"/>
  <c r="K1492" i="1"/>
  <c r="A1492" i="1"/>
  <c r="K1491" i="1"/>
  <c r="A1491" i="1"/>
  <c r="K1490" i="1"/>
  <c r="A1490" i="1"/>
  <c r="K1489" i="1"/>
  <c r="A1489" i="1"/>
  <c r="K1488" i="1"/>
  <c r="A1488" i="1"/>
  <c r="K1487" i="1"/>
  <c r="A1487" i="1"/>
  <c r="K1486" i="1"/>
  <c r="A1486" i="1"/>
  <c r="K1485" i="1"/>
  <c r="A1485" i="1"/>
  <c r="K1484" i="1"/>
  <c r="A1484" i="1"/>
  <c r="K1483" i="1"/>
  <c r="A1483" i="1"/>
  <c r="K1482" i="1"/>
  <c r="A1482" i="1"/>
  <c r="K1481" i="1"/>
  <c r="A1481" i="1"/>
  <c r="K1480" i="1"/>
  <c r="A1480" i="1"/>
  <c r="K1479" i="1"/>
  <c r="A1479" i="1"/>
  <c r="K1478" i="1"/>
  <c r="A1478" i="1"/>
  <c r="K1477" i="1"/>
  <c r="A1477" i="1"/>
  <c r="K1476" i="1"/>
  <c r="A1476" i="1"/>
  <c r="K1475" i="1"/>
  <c r="A1475" i="1"/>
  <c r="K1474" i="1"/>
  <c r="A1474" i="1"/>
  <c r="K1473" i="1"/>
  <c r="A1473" i="1"/>
  <c r="K1472" i="1"/>
  <c r="A1472" i="1"/>
  <c r="K1471" i="1"/>
  <c r="A1471" i="1"/>
  <c r="K1470" i="1"/>
  <c r="A1470" i="1"/>
  <c r="K1469" i="1"/>
  <c r="A1469" i="1"/>
  <c r="K1468" i="1"/>
  <c r="A1468" i="1"/>
  <c r="K1467" i="1"/>
  <c r="A1467" i="1"/>
  <c r="K1466" i="1"/>
  <c r="A1466" i="1"/>
  <c r="K1465" i="1"/>
  <c r="A1465" i="1"/>
  <c r="K1464" i="1"/>
  <c r="A1464" i="1"/>
  <c r="K1463" i="1"/>
  <c r="A1463" i="1"/>
  <c r="K1462" i="1"/>
  <c r="A1462" i="1"/>
  <c r="K1461" i="1"/>
  <c r="A1461" i="1"/>
  <c r="K1460" i="1"/>
  <c r="A1460" i="1"/>
  <c r="K1459" i="1"/>
  <c r="A1459" i="1"/>
  <c r="K1458" i="1"/>
  <c r="A1458" i="1"/>
  <c r="K1457" i="1"/>
  <c r="A1457" i="1"/>
  <c r="K1456" i="1"/>
  <c r="A1456" i="1"/>
  <c r="K1455" i="1"/>
  <c r="A1455" i="1"/>
  <c r="K1454" i="1"/>
  <c r="A1454" i="1"/>
  <c r="K1453" i="1"/>
  <c r="A1453" i="1"/>
  <c r="K1452" i="1"/>
  <c r="A1452" i="1"/>
  <c r="K1451" i="1"/>
  <c r="A1451" i="1"/>
  <c r="K1450" i="1"/>
  <c r="A1450" i="1"/>
  <c r="K1449" i="1"/>
  <c r="A1449" i="1"/>
  <c r="K1448" i="1"/>
  <c r="A1448" i="1"/>
  <c r="K1447" i="1"/>
  <c r="A1447" i="1"/>
  <c r="K1446" i="1"/>
  <c r="A1446" i="1"/>
  <c r="K1445" i="1"/>
  <c r="A1445" i="1"/>
  <c r="K1444" i="1"/>
  <c r="A1444" i="1"/>
  <c r="K1443" i="1"/>
  <c r="A1443" i="1"/>
  <c r="K1442" i="1"/>
  <c r="A1442" i="1"/>
  <c r="K1441" i="1"/>
  <c r="A1441" i="1"/>
  <c r="K1440" i="1"/>
  <c r="A1440" i="1"/>
  <c r="K1439" i="1"/>
  <c r="A1439" i="1"/>
  <c r="K1438" i="1"/>
  <c r="A1438" i="1"/>
  <c r="K1437" i="1"/>
  <c r="A1437" i="1"/>
  <c r="K1436" i="1"/>
  <c r="A1436" i="1"/>
  <c r="K1435" i="1"/>
  <c r="A1435" i="1"/>
  <c r="K1434" i="1"/>
  <c r="A1434" i="1"/>
  <c r="K1433" i="1"/>
  <c r="A1433" i="1"/>
  <c r="K1432" i="1"/>
  <c r="A1432" i="1"/>
  <c r="K1431" i="1"/>
  <c r="A1431" i="1"/>
  <c r="K1430" i="1"/>
  <c r="A1430" i="1"/>
  <c r="K1429" i="1"/>
  <c r="A1429" i="1"/>
  <c r="K1428" i="1"/>
  <c r="A1428" i="1"/>
  <c r="K1427" i="1"/>
  <c r="A1427" i="1"/>
  <c r="K1426" i="1"/>
  <c r="A1426" i="1"/>
  <c r="K1425" i="1"/>
  <c r="A1425" i="1"/>
  <c r="K1424" i="1"/>
  <c r="A1424" i="1"/>
  <c r="K1423" i="1"/>
  <c r="A1423" i="1"/>
  <c r="K1422" i="1"/>
  <c r="A1422" i="1"/>
  <c r="K1421" i="1"/>
  <c r="A1421" i="1"/>
  <c r="K1420" i="1"/>
  <c r="A1420" i="1"/>
  <c r="K1419" i="1"/>
  <c r="A1419" i="1"/>
  <c r="K1418" i="1"/>
  <c r="A1418" i="1"/>
  <c r="K1417" i="1"/>
  <c r="A1417" i="1"/>
  <c r="K1416" i="1"/>
  <c r="A1416" i="1"/>
  <c r="K1415" i="1"/>
  <c r="A1415" i="1"/>
  <c r="K1414" i="1"/>
  <c r="A1414" i="1"/>
  <c r="K1413" i="1"/>
  <c r="A1413" i="1"/>
  <c r="K1412" i="1"/>
  <c r="A1412" i="1"/>
  <c r="K1411" i="1"/>
  <c r="A1411" i="1"/>
  <c r="K1410" i="1"/>
  <c r="A1410" i="1"/>
  <c r="K1409" i="1"/>
  <c r="A1409" i="1"/>
  <c r="K1408" i="1"/>
  <c r="A1408" i="1"/>
  <c r="K1407" i="1"/>
  <c r="A1407" i="1"/>
  <c r="K1406" i="1"/>
  <c r="A1406" i="1"/>
  <c r="K1405" i="1"/>
  <c r="A1405" i="1"/>
  <c r="K1404" i="1"/>
  <c r="A1404" i="1"/>
  <c r="K1403" i="1"/>
  <c r="A1403" i="1"/>
  <c r="K1402" i="1"/>
  <c r="A1402" i="1"/>
  <c r="K1401" i="1"/>
  <c r="A1401" i="1"/>
  <c r="K1400" i="1"/>
  <c r="A1400" i="1"/>
  <c r="K1399" i="1"/>
  <c r="A1399" i="1"/>
  <c r="K1398" i="1"/>
  <c r="A1398" i="1"/>
  <c r="K1397" i="1"/>
  <c r="A1397" i="1"/>
  <c r="K1396" i="1"/>
  <c r="A1396" i="1"/>
  <c r="K1395" i="1"/>
  <c r="A1395" i="1"/>
  <c r="K1394" i="1"/>
  <c r="A1394" i="1"/>
  <c r="K1393" i="1"/>
  <c r="A1393" i="1"/>
  <c r="K1392" i="1"/>
  <c r="A1392" i="1"/>
  <c r="K1391" i="1"/>
  <c r="A1391" i="1"/>
  <c r="K1390" i="1"/>
  <c r="A1390" i="1"/>
  <c r="K1389" i="1"/>
  <c r="A1389" i="1"/>
  <c r="K1388" i="1"/>
  <c r="A1388" i="1"/>
  <c r="K1387" i="1"/>
  <c r="A1387" i="1"/>
  <c r="K1386" i="1"/>
  <c r="A1386" i="1"/>
  <c r="K1385" i="1"/>
  <c r="A1385" i="1"/>
  <c r="K1384" i="1"/>
  <c r="A1384" i="1"/>
  <c r="K1383" i="1"/>
  <c r="A1383" i="1"/>
  <c r="K1382" i="1"/>
  <c r="A1382" i="1"/>
  <c r="K1381" i="1"/>
  <c r="A1381" i="1"/>
  <c r="K1380" i="1"/>
  <c r="A1380" i="1"/>
  <c r="K1379" i="1"/>
  <c r="A1379" i="1"/>
  <c r="K1378" i="1"/>
  <c r="A1378" i="1"/>
  <c r="K1377" i="1"/>
  <c r="A1377" i="1"/>
  <c r="K1376" i="1"/>
  <c r="A1376" i="1"/>
  <c r="K1375" i="1"/>
  <c r="A1375" i="1"/>
  <c r="K1374" i="1"/>
  <c r="A1374" i="1"/>
  <c r="K1373" i="1"/>
  <c r="A1373" i="1"/>
  <c r="K1372" i="1"/>
  <c r="A1372" i="1"/>
  <c r="K1371" i="1"/>
  <c r="A1371" i="1"/>
  <c r="K1370" i="1"/>
  <c r="A1370" i="1"/>
  <c r="K1369" i="1"/>
  <c r="A1369" i="1"/>
  <c r="K1368" i="1"/>
  <c r="A1368" i="1"/>
  <c r="K1367" i="1"/>
  <c r="A1367" i="1"/>
  <c r="K1366" i="1"/>
  <c r="A1366" i="1"/>
  <c r="K1365" i="1"/>
  <c r="A1365" i="1"/>
  <c r="K1364" i="1"/>
  <c r="A1364" i="1"/>
  <c r="K1363" i="1"/>
  <c r="A1363" i="1"/>
  <c r="K1362" i="1"/>
  <c r="A1362" i="1"/>
  <c r="K1361" i="1"/>
  <c r="A1361" i="1"/>
  <c r="K1360" i="1"/>
  <c r="A1360" i="1"/>
  <c r="K1359" i="1"/>
  <c r="A1359" i="1"/>
  <c r="K1358" i="1"/>
  <c r="A1358" i="1"/>
  <c r="K1357" i="1"/>
  <c r="A1357" i="1"/>
  <c r="K1356" i="1"/>
  <c r="A1356" i="1"/>
  <c r="K1355" i="1"/>
  <c r="A1355" i="1"/>
  <c r="K1354" i="1"/>
  <c r="A1354" i="1"/>
  <c r="K1353" i="1"/>
  <c r="A1353" i="1"/>
  <c r="K1352" i="1"/>
  <c r="A1352" i="1"/>
  <c r="K1351" i="1"/>
  <c r="A1351" i="1"/>
  <c r="K1350" i="1"/>
  <c r="A1350" i="1"/>
  <c r="K1349" i="1"/>
  <c r="A1349" i="1"/>
  <c r="K1348" i="1"/>
  <c r="A1348" i="1"/>
  <c r="K1347" i="1"/>
  <c r="A1347" i="1"/>
  <c r="K1346" i="1"/>
  <c r="A1346" i="1"/>
  <c r="K1345" i="1"/>
  <c r="A1345" i="1"/>
  <c r="K1344" i="1"/>
  <c r="A1344" i="1"/>
  <c r="K1343" i="1"/>
  <c r="A1343" i="1"/>
  <c r="K1342" i="1"/>
  <c r="A1342" i="1"/>
  <c r="K1341" i="1"/>
  <c r="A1341" i="1"/>
  <c r="K1340" i="1"/>
  <c r="A1340" i="1"/>
  <c r="K1339" i="1"/>
  <c r="A1339" i="1"/>
  <c r="K1338" i="1"/>
  <c r="A1338" i="1"/>
  <c r="K1337" i="1"/>
  <c r="A1337" i="1"/>
  <c r="K1336" i="1"/>
  <c r="A1336" i="1"/>
  <c r="K1335" i="1"/>
  <c r="A1335" i="1"/>
  <c r="K1334" i="1"/>
  <c r="A1334" i="1"/>
  <c r="K1333" i="1"/>
  <c r="A1333" i="1"/>
  <c r="K1332" i="1"/>
  <c r="A1332" i="1"/>
  <c r="K1331" i="1"/>
  <c r="A1331" i="1"/>
  <c r="K1330" i="1"/>
  <c r="A1330" i="1"/>
  <c r="K1329" i="1"/>
  <c r="A1329" i="1"/>
  <c r="K1328" i="1"/>
  <c r="A1328" i="1"/>
  <c r="K1327" i="1"/>
  <c r="A1327" i="1"/>
  <c r="K1326" i="1"/>
  <c r="A1326" i="1"/>
  <c r="K1325" i="1"/>
  <c r="A1325" i="1"/>
  <c r="K1324" i="1"/>
  <c r="A1324" i="1"/>
  <c r="K1323" i="1"/>
  <c r="A1323" i="1"/>
  <c r="K1322" i="1"/>
  <c r="A1322" i="1"/>
  <c r="K1321" i="1"/>
  <c r="A1321" i="1"/>
  <c r="K1320" i="1"/>
  <c r="A1320" i="1"/>
  <c r="K1319" i="1"/>
  <c r="A1319" i="1"/>
  <c r="K1318" i="1"/>
  <c r="A1318" i="1"/>
  <c r="K1317" i="1"/>
  <c r="A1317" i="1"/>
  <c r="K1316" i="1"/>
  <c r="A1316" i="1"/>
  <c r="K1315" i="1"/>
  <c r="A1315" i="1"/>
  <c r="K1314" i="1"/>
  <c r="A1314" i="1"/>
  <c r="K1313" i="1"/>
  <c r="A1313" i="1"/>
  <c r="K1312" i="1"/>
  <c r="A1312" i="1"/>
  <c r="K1311" i="1"/>
  <c r="A1311" i="1"/>
  <c r="K1310" i="1"/>
  <c r="A1310" i="1"/>
  <c r="K1309" i="1"/>
  <c r="A1309" i="1"/>
  <c r="K1308" i="1"/>
  <c r="A1308" i="1"/>
  <c r="K1307" i="1"/>
  <c r="A1307" i="1"/>
  <c r="K1306" i="1"/>
  <c r="A1306" i="1"/>
  <c r="K1305" i="1"/>
  <c r="A1305" i="1"/>
  <c r="K1304" i="1"/>
  <c r="A1304" i="1"/>
  <c r="K1303" i="1"/>
  <c r="A1303" i="1"/>
  <c r="K1302" i="1"/>
  <c r="A1302" i="1"/>
  <c r="K1301" i="1"/>
  <c r="A1301" i="1"/>
  <c r="K1300" i="1"/>
  <c r="A1300" i="1"/>
  <c r="K1299" i="1"/>
  <c r="A1299" i="1"/>
  <c r="K1298" i="1"/>
  <c r="A1298" i="1"/>
  <c r="K1297" i="1"/>
  <c r="A1297" i="1"/>
  <c r="K1296" i="1"/>
  <c r="A1296" i="1"/>
  <c r="K1295" i="1"/>
  <c r="A1295" i="1"/>
  <c r="K1294" i="1"/>
  <c r="A1294" i="1"/>
  <c r="K1293" i="1"/>
  <c r="A1293" i="1"/>
  <c r="K1292" i="1"/>
  <c r="A1292" i="1"/>
  <c r="K1291" i="1"/>
  <c r="A1291" i="1"/>
  <c r="K1290" i="1"/>
  <c r="A1290" i="1"/>
  <c r="K1289" i="1"/>
  <c r="A1289" i="1"/>
  <c r="K1288" i="1"/>
  <c r="A1288" i="1"/>
  <c r="K1287" i="1"/>
  <c r="A1287" i="1"/>
  <c r="K1286" i="1"/>
  <c r="A1286" i="1"/>
  <c r="K1285" i="1"/>
  <c r="A1285" i="1"/>
  <c r="K1284" i="1"/>
  <c r="A1284" i="1"/>
  <c r="K1283" i="1"/>
  <c r="A1283" i="1"/>
  <c r="K1282" i="1"/>
  <c r="A1282" i="1"/>
  <c r="K1281" i="1"/>
  <c r="A1281" i="1"/>
  <c r="K1280" i="1"/>
  <c r="A1280" i="1"/>
  <c r="K1279" i="1"/>
  <c r="A1279" i="1"/>
  <c r="K1278" i="1"/>
  <c r="A1278" i="1"/>
  <c r="K1277" i="1"/>
  <c r="A1277" i="1"/>
  <c r="K1276" i="1"/>
  <c r="A1276" i="1"/>
  <c r="K1275" i="1"/>
  <c r="A1275" i="1"/>
  <c r="K1274" i="1"/>
  <c r="A1274" i="1"/>
  <c r="K1273" i="1"/>
  <c r="A1273" i="1"/>
  <c r="K1272" i="1"/>
  <c r="A1272" i="1"/>
  <c r="K1271" i="1"/>
  <c r="A1271" i="1"/>
  <c r="K1270" i="1"/>
  <c r="A1270" i="1"/>
  <c r="K1269" i="1"/>
  <c r="A1269" i="1"/>
  <c r="K1268" i="1"/>
  <c r="A1268" i="1"/>
  <c r="K1267" i="1"/>
  <c r="A1267" i="1"/>
  <c r="K1266" i="1"/>
  <c r="A1266" i="1"/>
  <c r="K1265" i="1"/>
  <c r="A1265" i="1"/>
  <c r="K1264" i="1"/>
  <c r="A1264" i="1"/>
  <c r="K1263" i="1"/>
  <c r="A1263" i="1"/>
  <c r="K1262" i="1"/>
  <c r="A1262" i="1"/>
  <c r="K1261" i="1"/>
  <c r="A1261" i="1"/>
  <c r="K1260" i="1"/>
  <c r="A1260" i="1"/>
  <c r="K1259" i="1"/>
  <c r="A1259" i="1"/>
  <c r="K1258" i="1"/>
  <c r="A1258" i="1"/>
  <c r="K1257" i="1"/>
  <c r="A1257" i="1"/>
  <c r="K1256" i="1"/>
  <c r="A1256" i="1"/>
  <c r="K1255" i="1"/>
  <c r="A1255" i="1"/>
  <c r="K1254" i="1"/>
  <c r="A1254" i="1"/>
  <c r="K1253" i="1"/>
  <c r="A1253" i="1"/>
  <c r="K1252" i="1"/>
  <c r="A1252" i="1"/>
  <c r="K1251" i="1"/>
  <c r="A1251" i="1"/>
  <c r="K1250" i="1"/>
  <c r="A1250" i="1"/>
  <c r="K1249" i="1"/>
  <c r="A1249" i="1"/>
  <c r="K1248" i="1"/>
  <c r="A1248" i="1"/>
  <c r="K1247" i="1"/>
  <c r="A1247" i="1"/>
  <c r="K1246" i="1"/>
  <c r="A1246" i="1"/>
  <c r="K1245" i="1"/>
  <c r="A1245" i="1"/>
  <c r="K1244" i="1"/>
  <c r="A1244" i="1"/>
  <c r="K1243" i="1"/>
  <c r="A1243" i="1"/>
  <c r="K1242" i="1"/>
  <c r="A1242" i="1"/>
  <c r="K1241" i="1"/>
  <c r="A1241" i="1"/>
  <c r="K1240" i="1"/>
  <c r="A1240" i="1"/>
  <c r="K1239" i="1"/>
  <c r="A1239" i="1"/>
  <c r="K1238" i="1"/>
  <c r="A1238" i="1"/>
  <c r="K1237" i="1"/>
  <c r="A1237" i="1"/>
  <c r="K1236" i="1"/>
  <c r="A1236" i="1"/>
  <c r="K1235" i="1"/>
  <c r="A1235" i="1"/>
  <c r="K1234" i="1"/>
  <c r="A1234" i="1"/>
  <c r="K1233" i="1"/>
  <c r="A1233" i="1"/>
  <c r="K1232" i="1"/>
  <c r="A1232" i="1"/>
  <c r="K1231" i="1"/>
  <c r="A1231" i="1"/>
  <c r="K1230" i="1"/>
  <c r="A1230" i="1"/>
  <c r="K1229" i="1"/>
  <c r="A1229" i="1"/>
  <c r="K1228" i="1"/>
  <c r="A1228" i="1"/>
  <c r="K1227" i="1"/>
  <c r="A1227" i="1"/>
  <c r="K1226" i="1"/>
  <c r="A1226" i="1"/>
  <c r="K1225" i="1"/>
  <c r="A1225" i="1"/>
  <c r="K1224" i="1"/>
  <c r="A1224" i="1"/>
  <c r="K1223" i="1"/>
  <c r="A1223" i="1"/>
  <c r="K1222" i="1"/>
  <c r="A1222" i="1"/>
  <c r="K1221" i="1"/>
  <c r="A1221" i="1"/>
  <c r="K1220" i="1"/>
  <c r="A1220" i="1"/>
  <c r="K1219" i="1"/>
  <c r="A1219" i="1"/>
  <c r="K1218" i="1"/>
  <c r="A1218" i="1"/>
  <c r="K1217" i="1"/>
  <c r="A1217" i="1"/>
  <c r="K1216" i="1"/>
  <c r="A1216" i="1"/>
  <c r="K1215" i="1"/>
  <c r="A1215" i="1"/>
  <c r="K1214" i="1"/>
  <c r="A1214" i="1"/>
  <c r="K1213" i="1"/>
  <c r="A1213" i="1"/>
  <c r="K1212" i="1"/>
  <c r="A1212" i="1"/>
  <c r="K1211" i="1"/>
  <c r="A1211" i="1"/>
  <c r="K1210" i="1"/>
  <c r="A1210" i="1"/>
  <c r="K1209" i="1"/>
  <c r="A1209" i="1"/>
  <c r="K1208" i="1"/>
  <c r="A1208" i="1"/>
  <c r="K1207" i="1"/>
  <c r="A1207" i="1"/>
  <c r="K1206" i="1"/>
  <c r="A1206" i="1"/>
  <c r="K1205" i="1"/>
  <c r="A1205" i="1"/>
  <c r="K1204" i="1"/>
  <c r="A1204" i="1"/>
  <c r="K1203" i="1"/>
  <c r="A1203" i="1"/>
  <c r="K1202" i="1"/>
  <c r="A1202" i="1"/>
  <c r="K1201" i="1"/>
  <c r="A1201" i="1"/>
  <c r="K1200" i="1"/>
  <c r="A1200" i="1"/>
  <c r="K1199" i="1"/>
  <c r="A1199" i="1"/>
  <c r="K1198" i="1"/>
  <c r="A1198" i="1"/>
  <c r="K1197" i="1"/>
  <c r="A1197" i="1"/>
  <c r="K1196" i="1"/>
  <c r="A1196" i="1"/>
  <c r="K1195" i="1"/>
  <c r="A1195" i="1"/>
  <c r="K1194" i="1"/>
  <c r="A1194" i="1"/>
  <c r="K1193" i="1"/>
  <c r="A1193" i="1"/>
  <c r="K1192" i="1"/>
  <c r="A1192" i="1"/>
  <c r="K1191" i="1"/>
  <c r="A1191" i="1"/>
  <c r="K1190" i="1"/>
  <c r="A1190" i="1"/>
  <c r="K1189" i="1"/>
  <c r="A1189" i="1"/>
  <c r="K1188" i="1"/>
  <c r="A1188" i="1"/>
  <c r="K1187" i="1"/>
  <c r="A1187" i="1"/>
  <c r="K1186" i="1"/>
  <c r="A1186" i="1"/>
  <c r="K1185" i="1"/>
  <c r="A1185" i="1"/>
  <c r="K1184" i="1"/>
  <c r="A1184" i="1"/>
  <c r="K1183" i="1"/>
  <c r="A1183" i="1"/>
  <c r="K1182" i="1"/>
  <c r="A1182" i="1"/>
  <c r="K1181" i="1"/>
  <c r="A1181" i="1"/>
  <c r="K1180" i="1"/>
  <c r="A1180" i="1"/>
  <c r="K1179" i="1"/>
  <c r="A1179" i="1"/>
  <c r="K1178" i="1"/>
  <c r="A1178" i="1"/>
  <c r="K1177" i="1"/>
  <c r="A1177" i="1"/>
  <c r="K1176" i="1"/>
  <c r="A1176" i="1"/>
  <c r="K1175" i="1"/>
  <c r="A1175" i="1"/>
  <c r="K1174" i="1"/>
  <c r="A1174" i="1"/>
  <c r="K1173" i="1"/>
  <c r="A1173" i="1"/>
  <c r="K1172" i="1"/>
  <c r="A1172" i="1"/>
  <c r="K1171" i="1"/>
  <c r="A1171" i="1"/>
  <c r="K1170" i="1"/>
  <c r="A1170" i="1"/>
  <c r="K1169" i="1"/>
  <c r="A1169" i="1"/>
  <c r="K1168" i="1"/>
  <c r="A1168" i="1"/>
  <c r="K1167" i="1"/>
  <c r="A1167" i="1"/>
  <c r="K1166" i="1"/>
  <c r="A1166" i="1"/>
  <c r="K1165" i="1"/>
  <c r="A1165" i="1"/>
  <c r="K1164" i="1"/>
  <c r="A1164" i="1"/>
  <c r="K1163" i="1"/>
  <c r="A1163" i="1"/>
  <c r="K1162" i="1"/>
  <c r="A1162" i="1"/>
  <c r="K1161" i="1"/>
  <c r="A1161" i="1"/>
  <c r="K1160" i="1"/>
  <c r="A1160" i="1"/>
  <c r="K1159" i="1"/>
  <c r="A1159" i="1"/>
  <c r="K1158" i="1"/>
  <c r="A1158" i="1"/>
  <c r="K1157" i="1"/>
  <c r="A1157" i="1"/>
  <c r="K1156" i="1"/>
  <c r="A1156" i="1"/>
  <c r="K1155" i="1"/>
  <c r="A1155" i="1"/>
  <c r="K1154" i="1"/>
  <c r="A1154" i="1"/>
  <c r="K1153" i="1"/>
  <c r="A1153" i="1"/>
  <c r="K1152" i="1"/>
  <c r="A1152" i="1"/>
  <c r="K1151" i="1"/>
  <c r="A1151" i="1"/>
  <c r="K1150" i="1"/>
  <c r="A1150" i="1"/>
  <c r="K1149" i="1"/>
  <c r="A1149" i="1"/>
  <c r="K1148" i="1"/>
  <c r="A1148" i="1"/>
  <c r="K1147" i="1"/>
  <c r="A1147" i="1"/>
  <c r="K1146" i="1"/>
  <c r="A1146" i="1"/>
  <c r="K1145" i="1"/>
  <c r="A1145" i="1"/>
  <c r="K1144" i="1"/>
  <c r="A1144" i="1"/>
  <c r="K1143" i="1"/>
  <c r="A1143" i="1"/>
  <c r="K1142" i="1"/>
  <c r="A1142" i="1"/>
  <c r="K1141" i="1"/>
  <c r="A1141" i="1"/>
  <c r="K1140" i="1"/>
  <c r="A1140" i="1"/>
  <c r="K1139" i="1"/>
  <c r="A1139" i="1"/>
  <c r="K1138" i="1"/>
  <c r="A1138" i="1"/>
  <c r="K1137" i="1"/>
  <c r="A1137" i="1"/>
  <c r="K1136" i="1"/>
  <c r="A1136" i="1"/>
  <c r="K1135" i="1"/>
  <c r="A1135" i="1"/>
  <c r="K1134" i="1"/>
  <c r="A1134" i="1"/>
  <c r="K1133" i="1"/>
  <c r="A1133" i="1"/>
  <c r="K1132" i="1"/>
  <c r="A1132" i="1"/>
  <c r="K1131" i="1"/>
  <c r="A1131" i="1"/>
  <c r="K1130" i="1"/>
  <c r="A1130" i="1"/>
  <c r="K1129" i="1"/>
  <c r="A1129" i="1"/>
  <c r="K1128" i="1"/>
  <c r="A1128" i="1"/>
  <c r="K1127" i="1"/>
  <c r="A1127" i="1"/>
  <c r="K1126" i="1"/>
  <c r="A1126" i="1"/>
  <c r="K1125" i="1"/>
  <c r="A1125" i="1"/>
  <c r="K1124" i="1"/>
  <c r="A1124" i="1"/>
  <c r="K1123" i="1"/>
  <c r="A1123" i="1"/>
  <c r="K1122" i="1"/>
  <c r="A1122" i="1"/>
  <c r="K1121" i="1"/>
  <c r="A1121" i="1"/>
  <c r="K1120" i="1"/>
  <c r="A1120" i="1"/>
  <c r="K1119" i="1"/>
  <c r="A1119" i="1"/>
  <c r="K1118" i="1"/>
  <c r="A1118" i="1"/>
  <c r="K1117" i="1"/>
  <c r="A1117" i="1"/>
  <c r="K1116" i="1"/>
  <c r="A1116" i="1"/>
  <c r="K1115" i="1"/>
  <c r="A1115" i="1"/>
  <c r="K1114" i="1"/>
  <c r="A1114" i="1"/>
  <c r="K1113" i="1"/>
  <c r="A1113" i="1"/>
  <c r="K1112" i="1"/>
  <c r="A1112" i="1"/>
  <c r="K1111" i="1"/>
  <c r="A1111" i="1"/>
  <c r="K1110" i="1"/>
  <c r="A1110" i="1"/>
  <c r="K1109" i="1"/>
  <c r="A1109" i="1"/>
  <c r="K1108" i="1"/>
  <c r="A1108" i="1"/>
  <c r="K1107" i="1"/>
  <c r="A1107" i="1"/>
  <c r="K1106" i="1"/>
  <c r="A1106" i="1"/>
  <c r="K1105" i="1"/>
  <c r="A1105" i="1"/>
  <c r="K1104" i="1"/>
  <c r="A1104" i="1"/>
  <c r="K1103" i="1"/>
  <c r="A1103" i="1"/>
  <c r="K1102" i="1"/>
  <c r="A1102" i="1"/>
  <c r="K1101" i="1"/>
  <c r="A1101" i="1"/>
  <c r="K1100" i="1"/>
  <c r="A1100" i="1"/>
  <c r="K1099" i="1"/>
  <c r="A1099" i="1"/>
  <c r="K1098" i="1"/>
  <c r="A1098" i="1"/>
  <c r="K1097" i="1"/>
  <c r="A1097" i="1"/>
  <c r="K1096" i="1"/>
  <c r="A1096" i="1"/>
  <c r="K1095" i="1"/>
  <c r="A1095" i="1"/>
  <c r="K1094" i="1"/>
  <c r="A1094" i="1"/>
  <c r="K1093" i="1"/>
  <c r="A1093" i="1"/>
  <c r="K1092" i="1"/>
  <c r="A1092" i="1"/>
  <c r="K1091" i="1"/>
  <c r="A1091" i="1"/>
  <c r="K1090" i="1"/>
  <c r="A1090" i="1"/>
  <c r="K1089" i="1"/>
  <c r="A1089" i="1"/>
  <c r="K1088" i="1"/>
  <c r="A1088" i="1"/>
  <c r="K1087" i="1"/>
  <c r="A1087" i="1"/>
  <c r="K1086" i="1"/>
  <c r="A1086" i="1"/>
  <c r="K1085" i="1"/>
  <c r="A1085" i="1"/>
  <c r="K1084" i="1"/>
  <c r="A1084" i="1"/>
  <c r="K1083" i="1"/>
  <c r="A1083" i="1"/>
  <c r="K1082" i="1"/>
  <c r="A1082" i="1"/>
  <c r="K1081" i="1"/>
  <c r="A1081" i="1"/>
  <c r="K1080" i="1"/>
  <c r="A1080" i="1"/>
  <c r="K1079" i="1"/>
  <c r="A1079" i="1"/>
  <c r="K1078" i="1"/>
  <c r="A1078" i="1"/>
  <c r="K1077" i="1"/>
  <c r="A1077" i="1"/>
  <c r="K1076" i="1"/>
  <c r="A1076" i="1"/>
  <c r="K1075" i="1"/>
  <c r="A1075" i="1"/>
  <c r="K1074" i="1"/>
  <c r="A1074" i="1"/>
  <c r="K1073" i="1"/>
  <c r="A1073" i="1"/>
  <c r="K1072" i="1"/>
  <c r="A1072" i="1"/>
  <c r="K1071" i="1"/>
  <c r="A1071" i="1"/>
  <c r="K1070" i="1"/>
  <c r="A1070" i="1"/>
  <c r="K1069" i="1"/>
  <c r="A1069" i="1"/>
  <c r="K1068" i="1"/>
  <c r="A1068" i="1"/>
  <c r="K1067" i="1"/>
  <c r="A1067" i="1"/>
  <c r="K1066" i="1"/>
  <c r="A1066" i="1"/>
  <c r="K1065" i="1"/>
  <c r="A1065" i="1"/>
  <c r="K1064" i="1"/>
  <c r="A1064" i="1"/>
  <c r="K1063" i="1"/>
  <c r="A1063" i="1"/>
  <c r="K1062" i="1"/>
  <c r="A1062" i="1"/>
  <c r="K1061" i="1"/>
  <c r="A1061" i="1"/>
  <c r="K1060" i="1"/>
  <c r="A1060" i="1"/>
  <c r="K1059" i="1"/>
  <c r="A1059" i="1"/>
  <c r="K1058" i="1"/>
  <c r="A1058" i="1"/>
  <c r="K1057" i="1"/>
  <c r="A1057" i="1"/>
  <c r="K1056" i="1"/>
  <c r="A1056" i="1"/>
  <c r="K1055" i="1"/>
  <c r="A1055" i="1"/>
  <c r="K1054" i="1"/>
  <c r="A1054" i="1"/>
  <c r="K1053" i="1"/>
  <c r="A1053" i="1"/>
  <c r="K1052" i="1"/>
  <c r="A1052" i="1"/>
  <c r="K1051" i="1"/>
  <c r="A1051" i="1"/>
  <c r="K1050" i="1"/>
  <c r="A1050" i="1"/>
  <c r="K1049" i="1"/>
  <c r="A1049" i="1"/>
  <c r="K1048" i="1"/>
  <c r="A1048" i="1"/>
  <c r="K1047" i="1"/>
  <c r="A1047" i="1"/>
  <c r="K1046" i="1"/>
  <c r="A1046" i="1"/>
  <c r="K1045" i="1"/>
  <c r="A1045" i="1"/>
  <c r="K1044" i="1"/>
  <c r="A1044" i="1"/>
  <c r="K1043" i="1"/>
  <c r="A1043" i="1"/>
  <c r="K1042" i="1"/>
  <c r="A1042" i="1"/>
  <c r="K1041" i="1"/>
  <c r="A1041" i="1"/>
  <c r="K1040" i="1"/>
  <c r="A1040" i="1"/>
  <c r="K1039" i="1"/>
  <c r="A1039" i="1"/>
  <c r="K1038" i="1"/>
  <c r="A1038" i="1"/>
  <c r="K1037" i="1"/>
  <c r="A1037" i="1"/>
  <c r="K1036" i="1"/>
  <c r="A1036" i="1"/>
  <c r="K1035" i="1"/>
  <c r="A1035" i="1"/>
  <c r="K1034" i="1"/>
  <c r="A1034" i="1"/>
  <c r="K1033" i="1"/>
  <c r="A1033" i="1"/>
  <c r="K1032" i="1"/>
  <c r="A1032" i="1"/>
  <c r="K1031" i="1"/>
  <c r="A1031" i="1"/>
  <c r="K1030" i="1"/>
  <c r="A1030" i="1"/>
  <c r="K1029" i="1"/>
  <c r="A1029" i="1"/>
  <c r="K1028" i="1"/>
  <c r="A1028" i="1"/>
  <c r="K1027" i="1"/>
  <c r="A1027" i="1"/>
  <c r="K1026" i="1"/>
  <c r="A1026" i="1"/>
  <c r="K1025" i="1"/>
  <c r="A1025" i="1"/>
  <c r="K1024" i="1"/>
  <c r="A1024" i="1"/>
  <c r="K1023" i="1"/>
  <c r="A1023" i="1"/>
  <c r="K1022" i="1"/>
  <c r="A1022" i="1"/>
  <c r="K1021" i="1"/>
  <c r="A1021" i="1"/>
  <c r="K1020" i="1"/>
  <c r="A1020" i="1"/>
  <c r="K1019" i="1"/>
  <c r="A1019" i="1"/>
  <c r="K1018" i="1"/>
  <c r="A1018" i="1"/>
  <c r="K1017" i="1"/>
  <c r="A1017" i="1"/>
  <c r="K1016" i="1"/>
  <c r="A1016" i="1"/>
  <c r="K1015" i="1"/>
  <c r="A1015" i="1"/>
  <c r="K1014" i="1"/>
  <c r="A1014" i="1"/>
  <c r="K1013" i="1"/>
  <c r="A1013" i="1"/>
  <c r="K1012" i="1"/>
  <c r="A1012" i="1"/>
  <c r="K1011" i="1"/>
  <c r="A1011" i="1"/>
  <c r="K1010" i="1"/>
  <c r="A1010" i="1"/>
  <c r="K1009" i="1"/>
  <c r="A1009" i="1"/>
  <c r="K1008" i="1"/>
  <c r="A1008" i="1"/>
  <c r="K1007" i="1"/>
  <c r="A1007" i="1"/>
  <c r="K1006" i="1"/>
  <c r="A1006" i="1"/>
  <c r="K1005" i="1"/>
  <c r="A1005" i="1"/>
  <c r="K1004" i="1"/>
  <c r="A1004" i="1"/>
  <c r="K1003" i="1"/>
  <c r="A1003" i="1"/>
  <c r="K1002" i="1"/>
  <c r="A1002" i="1"/>
  <c r="K1001" i="1"/>
  <c r="A1001" i="1"/>
  <c r="K1000" i="1"/>
  <c r="A1000" i="1"/>
  <c r="K999" i="1"/>
  <c r="A999" i="1"/>
  <c r="K998" i="1"/>
  <c r="A998" i="1"/>
  <c r="K997" i="1"/>
  <c r="A997" i="1"/>
  <c r="K996" i="1"/>
  <c r="A996" i="1"/>
  <c r="K995" i="1"/>
  <c r="A995" i="1"/>
  <c r="K994" i="1"/>
  <c r="A994" i="1"/>
  <c r="K993" i="1"/>
  <c r="A993" i="1"/>
  <c r="K992" i="1"/>
  <c r="A992" i="1"/>
  <c r="K991" i="1"/>
  <c r="A991" i="1"/>
  <c r="K990" i="1"/>
  <c r="A990" i="1"/>
  <c r="K989" i="1"/>
  <c r="A989" i="1"/>
  <c r="K988" i="1"/>
  <c r="A988" i="1"/>
  <c r="K987" i="1"/>
  <c r="A987" i="1"/>
  <c r="K986" i="1"/>
  <c r="A986" i="1"/>
  <c r="K985" i="1"/>
  <c r="A985" i="1"/>
  <c r="K984" i="1"/>
  <c r="A984" i="1"/>
  <c r="K983" i="1"/>
  <c r="A983" i="1"/>
  <c r="K982" i="1"/>
  <c r="A982" i="1"/>
  <c r="K981" i="1"/>
  <c r="A981" i="1"/>
  <c r="K980" i="1"/>
  <c r="A980" i="1"/>
  <c r="K979" i="1"/>
  <c r="A979" i="1"/>
  <c r="K978" i="1"/>
  <c r="A978" i="1"/>
  <c r="K977" i="1"/>
  <c r="A977" i="1"/>
  <c r="K976" i="1"/>
  <c r="A976" i="1"/>
  <c r="K975" i="1"/>
  <c r="A975" i="1"/>
  <c r="K974" i="1"/>
  <c r="A974" i="1"/>
  <c r="K973" i="1"/>
  <c r="A973" i="1"/>
  <c r="K972" i="1"/>
  <c r="A972" i="1"/>
  <c r="K971" i="1"/>
  <c r="A971" i="1"/>
  <c r="K970" i="1"/>
  <c r="A970" i="1"/>
  <c r="K969" i="1"/>
  <c r="A969" i="1"/>
  <c r="K968" i="1"/>
  <c r="A968" i="1"/>
  <c r="K967" i="1"/>
  <c r="A967" i="1"/>
  <c r="K966" i="1"/>
  <c r="A966" i="1"/>
  <c r="K965" i="1"/>
  <c r="A965" i="1"/>
  <c r="K964" i="1"/>
  <c r="A964" i="1"/>
  <c r="K963" i="1"/>
  <c r="A963" i="1"/>
  <c r="K962" i="1"/>
  <c r="A962" i="1"/>
  <c r="K961" i="1"/>
  <c r="A961" i="1"/>
  <c r="K960" i="1"/>
  <c r="A960" i="1"/>
  <c r="K959" i="1"/>
  <c r="A959" i="1"/>
  <c r="K958" i="1"/>
  <c r="A958" i="1"/>
  <c r="K957" i="1"/>
  <c r="A957" i="1"/>
  <c r="K956" i="1"/>
  <c r="A956" i="1"/>
  <c r="K955" i="1"/>
  <c r="A955" i="1"/>
  <c r="K954" i="1"/>
  <c r="A954" i="1"/>
  <c r="K953" i="1"/>
  <c r="A953" i="1"/>
  <c r="K952" i="1"/>
  <c r="A952" i="1"/>
  <c r="K951" i="1"/>
  <c r="A951" i="1"/>
  <c r="K950" i="1"/>
  <c r="A950" i="1"/>
  <c r="K949" i="1"/>
  <c r="A949" i="1"/>
  <c r="K948" i="1"/>
  <c r="A948" i="1"/>
  <c r="K947" i="1"/>
  <c r="A947" i="1"/>
  <c r="K946" i="1"/>
  <c r="A946" i="1"/>
  <c r="K945" i="1"/>
  <c r="A945" i="1"/>
  <c r="K944" i="1"/>
  <c r="A944" i="1"/>
  <c r="K943" i="1"/>
  <c r="A943" i="1"/>
  <c r="K942" i="1"/>
  <c r="A942" i="1"/>
  <c r="K941" i="1"/>
  <c r="A941" i="1"/>
  <c r="K940" i="1"/>
  <c r="A940" i="1"/>
  <c r="K939" i="1"/>
  <c r="A939" i="1"/>
  <c r="K938" i="1"/>
  <c r="A938" i="1"/>
  <c r="K937" i="1"/>
  <c r="A937" i="1"/>
  <c r="K936" i="1"/>
  <c r="A936" i="1"/>
  <c r="K935" i="1"/>
  <c r="A935" i="1"/>
  <c r="K934" i="1"/>
  <c r="A934" i="1"/>
  <c r="K933" i="1"/>
  <c r="A933" i="1"/>
  <c r="K932" i="1"/>
  <c r="A932" i="1"/>
  <c r="K931" i="1"/>
  <c r="A931" i="1"/>
  <c r="K930" i="1"/>
  <c r="A930" i="1"/>
  <c r="K929" i="1"/>
  <c r="A929" i="1"/>
  <c r="K928" i="1"/>
  <c r="A928" i="1"/>
  <c r="K927" i="1"/>
  <c r="A927" i="1"/>
  <c r="K926" i="1"/>
  <c r="A926" i="1"/>
  <c r="K925" i="1"/>
  <c r="A925" i="1"/>
  <c r="K924" i="1"/>
  <c r="A924" i="1"/>
  <c r="K923" i="1"/>
  <c r="A923" i="1"/>
  <c r="K922" i="1"/>
  <c r="A922" i="1"/>
  <c r="K921" i="1"/>
  <c r="A921" i="1"/>
  <c r="K920" i="1"/>
  <c r="A920" i="1"/>
  <c r="K919" i="1"/>
  <c r="A919" i="1"/>
  <c r="K918" i="1"/>
  <c r="A918" i="1"/>
  <c r="K917" i="1"/>
  <c r="A917" i="1"/>
  <c r="K916" i="1"/>
  <c r="A916" i="1"/>
  <c r="K915" i="1"/>
  <c r="A915" i="1"/>
  <c r="K914" i="1"/>
  <c r="A914" i="1"/>
  <c r="K913" i="1"/>
  <c r="A913" i="1"/>
  <c r="K912" i="1"/>
  <c r="A912" i="1"/>
  <c r="K911" i="1"/>
  <c r="A911" i="1"/>
  <c r="K910" i="1"/>
  <c r="A910" i="1"/>
  <c r="K909" i="1"/>
  <c r="A909" i="1"/>
  <c r="K908" i="1"/>
  <c r="A908" i="1"/>
  <c r="K907" i="1"/>
  <c r="A907" i="1"/>
  <c r="K906" i="1"/>
  <c r="A906" i="1"/>
  <c r="K905" i="1"/>
  <c r="A905" i="1"/>
  <c r="K904" i="1"/>
  <c r="A904" i="1"/>
  <c r="K903" i="1"/>
  <c r="A903" i="1"/>
  <c r="K902" i="1"/>
  <c r="A902" i="1"/>
  <c r="K901" i="1"/>
  <c r="A901" i="1"/>
  <c r="K900" i="1"/>
  <c r="A900" i="1"/>
  <c r="K899" i="1"/>
  <c r="A899" i="1"/>
  <c r="K898" i="1"/>
  <c r="A898" i="1"/>
  <c r="K897" i="1"/>
  <c r="A897" i="1"/>
  <c r="K896" i="1"/>
  <c r="A896" i="1"/>
  <c r="K895" i="1"/>
  <c r="A895" i="1"/>
  <c r="K894" i="1"/>
  <c r="A894" i="1"/>
  <c r="K893" i="1"/>
  <c r="A893" i="1"/>
  <c r="K892" i="1"/>
  <c r="A892" i="1"/>
  <c r="K891" i="1"/>
  <c r="A891" i="1"/>
  <c r="K890" i="1"/>
  <c r="A890" i="1"/>
  <c r="K889" i="1"/>
  <c r="A889" i="1"/>
  <c r="K888" i="1"/>
  <c r="A888" i="1"/>
  <c r="K887" i="1"/>
  <c r="A887" i="1"/>
  <c r="K886" i="1"/>
  <c r="A886" i="1"/>
  <c r="K885" i="1"/>
  <c r="A885" i="1"/>
  <c r="K884" i="1"/>
  <c r="A884" i="1"/>
  <c r="K883" i="1"/>
  <c r="A883" i="1"/>
  <c r="K882" i="1"/>
  <c r="A882" i="1"/>
  <c r="K881" i="1"/>
  <c r="A881" i="1"/>
  <c r="K880" i="1"/>
  <c r="A880" i="1"/>
  <c r="K879" i="1"/>
  <c r="A879" i="1"/>
  <c r="K878" i="1"/>
  <c r="A878" i="1"/>
  <c r="K877" i="1"/>
  <c r="A877" i="1"/>
  <c r="K876" i="1"/>
  <c r="A876" i="1"/>
  <c r="K875" i="1"/>
  <c r="A875" i="1"/>
  <c r="K874" i="1"/>
  <c r="A874" i="1"/>
  <c r="K873" i="1"/>
  <c r="A873" i="1"/>
  <c r="K872" i="1"/>
  <c r="A872" i="1"/>
  <c r="K871" i="1"/>
  <c r="A871" i="1"/>
  <c r="K870" i="1"/>
  <c r="A870" i="1"/>
  <c r="K869" i="1"/>
  <c r="A869" i="1"/>
  <c r="K868" i="1"/>
  <c r="A868" i="1"/>
  <c r="K867" i="1"/>
  <c r="A867" i="1"/>
  <c r="K866" i="1"/>
  <c r="A866" i="1"/>
  <c r="K865" i="1"/>
  <c r="A865" i="1"/>
  <c r="K864" i="1"/>
  <c r="A864" i="1"/>
  <c r="K863" i="1"/>
  <c r="A863" i="1"/>
  <c r="K862" i="1"/>
  <c r="A862" i="1"/>
  <c r="K861" i="1"/>
  <c r="A861" i="1"/>
  <c r="K860" i="1"/>
  <c r="A860" i="1"/>
  <c r="K859" i="1"/>
  <c r="A859" i="1"/>
  <c r="K858" i="1"/>
  <c r="A858" i="1"/>
  <c r="K857" i="1"/>
  <c r="A857" i="1"/>
  <c r="K856" i="1"/>
  <c r="A856" i="1"/>
  <c r="K855" i="1"/>
  <c r="A855" i="1"/>
  <c r="K854" i="1"/>
  <c r="A854" i="1"/>
  <c r="K853" i="1"/>
  <c r="A853" i="1"/>
  <c r="K852" i="1"/>
  <c r="A852" i="1"/>
  <c r="K851" i="1"/>
  <c r="A851" i="1"/>
  <c r="K850" i="1"/>
  <c r="A850" i="1"/>
  <c r="K849" i="1"/>
  <c r="A849" i="1"/>
  <c r="K848" i="1"/>
  <c r="A848" i="1"/>
  <c r="K847" i="1"/>
  <c r="A847" i="1"/>
  <c r="K846" i="1"/>
  <c r="A846" i="1"/>
  <c r="K845" i="1"/>
  <c r="A845" i="1"/>
  <c r="K844" i="1"/>
  <c r="A844" i="1"/>
  <c r="K843" i="1"/>
  <c r="A843" i="1"/>
  <c r="K842" i="1"/>
  <c r="A842" i="1"/>
  <c r="K841" i="1"/>
  <c r="A841" i="1"/>
  <c r="K840" i="1"/>
  <c r="A840" i="1"/>
  <c r="K839" i="1"/>
  <c r="A839" i="1"/>
  <c r="K838" i="1"/>
  <c r="A838" i="1"/>
  <c r="K837" i="1"/>
  <c r="A837" i="1"/>
  <c r="K836" i="1"/>
  <c r="A836" i="1"/>
  <c r="K835" i="1"/>
  <c r="A835" i="1"/>
  <c r="K834" i="1"/>
  <c r="A834" i="1"/>
  <c r="K833" i="1"/>
  <c r="A833" i="1"/>
  <c r="K832" i="1"/>
  <c r="A832" i="1"/>
  <c r="K831" i="1"/>
  <c r="A831" i="1"/>
  <c r="K830" i="1"/>
  <c r="A830" i="1"/>
  <c r="K829" i="1"/>
  <c r="A829" i="1"/>
  <c r="K828" i="1"/>
  <c r="A828" i="1"/>
  <c r="K827" i="1"/>
  <c r="A827" i="1"/>
  <c r="K826" i="1"/>
  <c r="A826" i="1"/>
  <c r="K825" i="1"/>
  <c r="A825" i="1"/>
  <c r="K824" i="1"/>
  <c r="A824" i="1"/>
  <c r="K823" i="1"/>
  <c r="A823" i="1"/>
  <c r="K822" i="1"/>
  <c r="A822" i="1"/>
  <c r="K821" i="1"/>
  <c r="A821" i="1"/>
  <c r="K820" i="1"/>
  <c r="A820" i="1"/>
  <c r="K819" i="1"/>
  <c r="A819" i="1"/>
  <c r="K818" i="1"/>
  <c r="A818" i="1"/>
  <c r="K817" i="1"/>
  <c r="A817" i="1"/>
  <c r="K816" i="1"/>
  <c r="A816" i="1"/>
  <c r="K815" i="1"/>
  <c r="A815" i="1"/>
  <c r="K814" i="1"/>
  <c r="A814" i="1"/>
  <c r="K813" i="1"/>
  <c r="A813" i="1"/>
  <c r="K812" i="1"/>
  <c r="A812" i="1"/>
  <c r="K811" i="1"/>
  <c r="A811" i="1"/>
  <c r="K810" i="1"/>
  <c r="A810" i="1"/>
  <c r="K809" i="1"/>
  <c r="A809" i="1"/>
  <c r="K808" i="1"/>
  <c r="A808" i="1"/>
  <c r="K807" i="1"/>
  <c r="A807" i="1"/>
  <c r="K806" i="1"/>
  <c r="A806" i="1"/>
  <c r="K805" i="1"/>
  <c r="A805" i="1"/>
  <c r="K804" i="1"/>
  <c r="A804" i="1"/>
  <c r="K803" i="1"/>
  <c r="A803" i="1"/>
  <c r="K802" i="1"/>
  <c r="A802" i="1"/>
  <c r="K801" i="1"/>
  <c r="A801" i="1"/>
  <c r="K800" i="1"/>
  <c r="A800" i="1"/>
  <c r="K799" i="1"/>
  <c r="A799" i="1"/>
  <c r="K798" i="1"/>
  <c r="A798" i="1"/>
  <c r="K797" i="1"/>
  <c r="A797" i="1"/>
  <c r="K796" i="1"/>
  <c r="A796" i="1"/>
  <c r="K795" i="1"/>
  <c r="A795" i="1"/>
  <c r="K794" i="1"/>
  <c r="A794" i="1"/>
  <c r="K793" i="1"/>
  <c r="A793" i="1"/>
  <c r="K792" i="1"/>
  <c r="A792" i="1"/>
  <c r="K791" i="1"/>
  <c r="A791" i="1"/>
  <c r="K790" i="1"/>
  <c r="A790" i="1"/>
  <c r="K789" i="1"/>
  <c r="A789" i="1"/>
  <c r="K788" i="1"/>
  <c r="A788" i="1"/>
  <c r="K787" i="1"/>
  <c r="A787" i="1"/>
  <c r="K786" i="1"/>
  <c r="A786" i="1"/>
  <c r="K785" i="1"/>
  <c r="A785" i="1"/>
  <c r="K784" i="1"/>
  <c r="A784" i="1"/>
  <c r="K783" i="1"/>
  <c r="A783" i="1"/>
  <c r="K782" i="1"/>
  <c r="A782" i="1"/>
  <c r="K781" i="1"/>
  <c r="A781" i="1"/>
  <c r="K780" i="1"/>
  <c r="A780" i="1"/>
  <c r="K779" i="1"/>
  <c r="A779" i="1"/>
  <c r="K778" i="1"/>
  <c r="A778" i="1"/>
  <c r="K777" i="1"/>
  <c r="A777" i="1"/>
  <c r="K776" i="1"/>
  <c r="A776" i="1"/>
  <c r="K775" i="1"/>
  <c r="A775" i="1"/>
  <c r="K774" i="1"/>
  <c r="A774" i="1"/>
  <c r="K773" i="1"/>
  <c r="A773" i="1"/>
  <c r="K772" i="1"/>
  <c r="A772" i="1"/>
  <c r="K771" i="1"/>
  <c r="A771" i="1"/>
  <c r="K770" i="1"/>
  <c r="A770" i="1"/>
  <c r="K769" i="1"/>
  <c r="A769" i="1"/>
  <c r="K768" i="1"/>
  <c r="A768" i="1"/>
  <c r="K767" i="1"/>
  <c r="A767" i="1"/>
  <c r="K766" i="1"/>
  <c r="A766" i="1"/>
  <c r="K765" i="1"/>
  <c r="A765" i="1"/>
  <c r="K764" i="1"/>
  <c r="A764" i="1"/>
  <c r="K763" i="1"/>
  <c r="A763" i="1"/>
  <c r="K762" i="1"/>
  <c r="A762" i="1"/>
  <c r="K761" i="1"/>
  <c r="A761" i="1"/>
  <c r="K760" i="1"/>
  <c r="A760" i="1"/>
  <c r="K759" i="1"/>
  <c r="A759" i="1"/>
  <c r="K758" i="1"/>
  <c r="A758" i="1"/>
  <c r="K757" i="1"/>
  <c r="A757" i="1"/>
  <c r="K756" i="1"/>
  <c r="A756" i="1"/>
  <c r="K755" i="1"/>
  <c r="A755" i="1"/>
  <c r="K754" i="1"/>
  <c r="A754" i="1"/>
  <c r="K753" i="1"/>
  <c r="A753" i="1"/>
  <c r="K752" i="1"/>
  <c r="A752" i="1"/>
  <c r="K751" i="1"/>
  <c r="A751" i="1"/>
  <c r="K750" i="1"/>
  <c r="A750" i="1"/>
  <c r="K749" i="1"/>
  <c r="A749" i="1"/>
  <c r="K748" i="1"/>
  <c r="A748" i="1"/>
  <c r="K747" i="1"/>
  <c r="A747" i="1"/>
  <c r="K746" i="1"/>
  <c r="A746" i="1"/>
  <c r="K745" i="1"/>
  <c r="A745" i="1"/>
  <c r="K744" i="1"/>
  <c r="A744" i="1"/>
  <c r="K743" i="1"/>
  <c r="A743" i="1"/>
  <c r="K742" i="1"/>
  <c r="A742" i="1"/>
  <c r="K741" i="1"/>
  <c r="A741" i="1"/>
  <c r="K740" i="1"/>
  <c r="A740" i="1"/>
  <c r="K739" i="1"/>
  <c r="A739" i="1"/>
  <c r="K738" i="1"/>
  <c r="A738" i="1"/>
  <c r="K737" i="1"/>
  <c r="A737" i="1"/>
  <c r="K736" i="1"/>
  <c r="A736" i="1"/>
  <c r="K735" i="1"/>
  <c r="A735" i="1"/>
  <c r="K734" i="1"/>
  <c r="A734" i="1"/>
  <c r="K733" i="1"/>
  <c r="A733" i="1"/>
  <c r="K732" i="1"/>
  <c r="A732" i="1"/>
  <c r="K731" i="1"/>
  <c r="A731" i="1"/>
  <c r="K730" i="1"/>
  <c r="A730" i="1"/>
  <c r="K729" i="1"/>
  <c r="A729" i="1"/>
  <c r="K728" i="1"/>
  <c r="A728" i="1"/>
  <c r="K727" i="1"/>
  <c r="A727" i="1"/>
  <c r="K726" i="1"/>
  <c r="A726" i="1"/>
  <c r="K725" i="1"/>
  <c r="A725" i="1"/>
  <c r="K724" i="1"/>
  <c r="A724" i="1"/>
  <c r="K723" i="1"/>
  <c r="A723" i="1"/>
  <c r="K722" i="1"/>
  <c r="A722" i="1"/>
  <c r="K721" i="1"/>
  <c r="A721" i="1"/>
  <c r="K720" i="1"/>
  <c r="A720" i="1"/>
  <c r="K719" i="1"/>
  <c r="A719" i="1"/>
  <c r="K718" i="1"/>
  <c r="A718" i="1"/>
  <c r="K717" i="1"/>
  <c r="A717" i="1"/>
  <c r="K716" i="1"/>
  <c r="A716" i="1"/>
  <c r="K715" i="1"/>
  <c r="A715" i="1"/>
  <c r="K714" i="1"/>
  <c r="A714" i="1"/>
  <c r="K713" i="1"/>
  <c r="A713" i="1"/>
  <c r="K712" i="1"/>
  <c r="A712" i="1"/>
  <c r="K711" i="1"/>
  <c r="A711" i="1"/>
  <c r="K710" i="1"/>
  <c r="A710" i="1"/>
  <c r="K709" i="1"/>
  <c r="A709" i="1"/>
  <c r="K708" i="1"/>
  <c r="A708" i="1"/>
  <c r="K707" i="1"/>
  <c r="A707" i="1"/>
  <c r="K706" i="1"/>
  <c r="A706" i="1"/>
  <c r="K705" i="1"/>
  <c r="A705" i="1"/>
  <c r="K704" i="1"/>
  <c r="A704" i="1"/>
  <c r="K703" i="1"/>
  <c r="A703" i="1"/>
  <c r="K702" i="1"/>
  <c r="A702" i="1"/>
  <c r="K701" i="1"/>
  <c r="A701" i="1"/>
  <c r="K700" i="1"/>
  <c r="A700" i="1"/>
  <c r="K699" i="1"/>
  <c r="A699" i="1"/>
  <c r="K698" i="1"/>
  <c r="A698" i="1"/>
  <c r="K697" i="1"/>
  <c r="A697" i="1"/>
  <c r="K696" i="1"/>
  <c r="A696" i="1"/>
  <c r="K695" i="1"/>
  <c r="A695" i="1"/>
  <c r="K694" i="1"/>
  <c r="A694" i="1"/>
  <c r="K693" i="1"/>
  <c r="A693" i="1"/>
  <c r="K692" i="1"/>
  <c r="A692" i="1"/>
  <c r="K691" i="1"/>
  <c r="A691" i="1"/>
  <c r="K690" i="1"/>
  <c r="A690" i="1"/>
  <c r="K689" i="1"/>
  <c r="A689" i="1"/>
  <c r="K688" i="1"/>
  <c r="A688" i="1"/>
  <c r="K687" i="1"/>
  <c r="A687" i="1"/>
  <c r="K686" i="1"/>
  <c r="A686" i="1"/>
  <c r="K685" i="1"/>
  <c r="A685" i="1"/>
  <c r="K684" i="1"/>
  <c r="A684" i="1"/>
  <c r="K683" i="1"/>
  <c r="A683" i="1"/>
  <c r="K682" i="1"/>
  <c r="A682" i="1"/>
  <c r="K681" i="1"/>
  <c r="A681" i="1"/>
  <c r="K680" i="1"/>
  <c r="A680" i="1"/>
  <c r="K679" i="1"/>
  <c r="A679" i="1"/>
  <c r="K678" i="1"/>
  <c r="A678" i="1"/>
  <c r="K677" i="1"/>
  <c r="A677" i="1"/>
  <c r="K676" i="1"/>
  <c r="A676" i="1"/>
  <c r="K675" i="1"/>
  <c r="A675" i="1"/>
  <c r="K674" i="1"/>
  <c r="A674" i="1"/>
  <c r="K673" i="1"/>
  <c r="A673" i="1"/>
  <c r="K672" i="1"/>
  <c r="A672" i="1"/>
  <c r="K671" i="1"/>
  <c r="A671" i="1"/>
  <c r="K670" i="1"/>
  <c r="A670" i="1"/>
  <c r="K669" i="1"/>
  <c r="A669" i="1"/>
  <c r="K668" i="1"/>
  <c r="A668" i="1"/>
  <c r="K667" i="1"/>
  <c r="A667" i="1"/>
  <c r="K666" i="1"/>
  <c r="A666" i="1"/>
  <c r="K665" i="1"/>
  <c r="A665" i="1"/>
  <c r="K664" i="1"/>
  <c r="A664" i="1"/>
  <c r="K663" i="1"/>
  <c r="A663" i="1"/>
  <c r="K662" i="1"/>
  <c r="A662" i="1"/>
  <c r="K661" i="1"/>
  <c r="A661" i="1"/>
  <c r="K660" i="1"/>
  <c r="A660" i="1"/>
  <c r="K659" i="1"/>
  <c r="A659" i="1"/>
  <c r="K658" i="1"/>
  <c r="A658" i="1"/>
  <c r="K657" i="1"/>
  <c r="A657" i="1"/>
  <c r="K656" i="1"/>
  <c r="A656" i="1"/>
  <c r="K655" i="1"/>
  <c r="A655" i="1"/>
  <c r="K654" i="1"/>
  <c r="A654" i="1"/>
  <c r="K653" i="1"/>
  <c r="A653" i="1"/>
  <c r="K652" i="1"/>
  <c r="A652" i="1"/>
  <c r="K651" i="1"/>
  <c r="A651" i="1"/>
  <c r="K650" i="1"/>
  <c r="A650" i="1"/>
  <c r="K649" i="1"/>
  <c r="A649" i="1"/>
  <c r="K648" i="1"/>
  <c r="A648" i="1"/>
  <c r="K647" i="1"/>
  <c r="A647" i="1"/>
  <c r="K646" i="1"/>
  <c r="A646" i="1"/>
  <c r="K645" i="1"/>
  <c r="A645" i="1"/>
  <c r="K644" i="1"/>
  <c r="A644" i="1"/>
  <c r="K643" i="1"/>
  <c r="A643" i="1"/>
  <c r="K642" i="1"/>
  <c r="A642" i="1"/>
  <c r="K641" i="1"/>
  <c r="A641" i="1"/>
  <c r="K640" i="1"/>
  <c r="A640" i="1"/>
  <c r="K639" i="1"/>
  <c r="A639" i="1"/>
  <c r="K638" i="1"/>
  <c r="A638" i="1"/>
  <c r="K637" i="1"/>
  <c r="A637" i="1"/>
  <c r="K636" i="1"/>
  <c r="A636" i="1"/>
  <c r="K635" i="1"/>
  <c r="A635" i="1"/>
  <c r="K634" i="1"/>
  <c r="A634" i="1"/>
  <c r="K633" i="1"/>
  <c r="A633" i="1"/>
  <c r="K632" i="1"/>
  <c r="A632" i="1"/>
  <c r="K631" i="1"/>
  <c r="A631" i="1"/>
  <c r="K630" i="1"/>
  <c r="A630" i="1"/>
  <c r="K629" i="1"/>
  <c r="A629" i="1"/>
  <c r="K628" i="1"/>
  <c r="A628" i="1"/>
  <c r="K627" i="1"/>
  <c r="A627" i="1"/>
  <c r="K626" i="1"/>
  <c r="A626" i="1"/>
  <c r="K625" i="1"/>
  <c r="A625" i="1"/>
  <c r="K624" i="1"/>
  <c r="A624" i="1"/>
  <c r="K623" i="1"/>
  <c r="A623" i="1"/>
  <c r="K622" i="1"/>
  <c r="A622" i="1"/>
  <c r="K621" i="1"/>
  <c r="A621" i="1"/>
  <c r="K620" i="1"/>
  <c r="A620" i="1"/>
  <c r="K619" i="1"/>
  <c r="A619" i="1"/>
  <c r="K618" i="1"/>
  <c r="A618" i="1"/>
  <c r="K617" i="1"/>
  <c r="A617" i="1"/>
  <c r="K616" i="1"/>
  <c r="A616" i="1"/>
  <c r="K615" i="1"/>
  <c r="A615" i="1"/>
  <c r="K614" i="1"/>
  <c r="A614" i="1"/>
  <c r="K613" i="1"/>
  <c r="A613" i="1"/>
  <c r="K612" i="1"/>
  <c r="A612" i="1"/>
  <c r="K611" i="1"/>
  <c r="A611" i="1"/>
  <c r="K610" i="1"/>
  <c r="A610" i="1"/>
  <c r="K609" i="1"/>
  <c r="A609" i="1"/>
  <c r="K608" i="1"/>
  <c r="A608" i="1"/>
  <c r="K607" i="1"/>
  <c r="A607" i="1"/>
  <c r="K606" i="1"/>
  <c r="A606" i="1"/>
  <c r="K605" i="1"/>
  <c r="A605" i="1"/>
  <c r="K604" i="1"/>
  <c r="A604" i="1"/>
  <c r="K603" i="1"/>
  <c r="A603" i="1"/>
  <c r="K602" i="1"/>
  <c r="A602" i="1"/>
  <c r="K601" i="1"/>
  <c r="A601" i="1"/>
  <c r="K600" i="1"/>
  <c r="A600" i="1"/>
  <c r="K599" i="1"/>
  <c r="A599" i="1"/>
  <c r="K598" i="1"/>
  <c r="A598" i="1"/>
  <c r="K597" i="1"/>
  <c r="A597" i="1"/>
  <c r="K596" i="1"/>
  <c r="A596" i="1"/>
  <c r="K595" i="1"/>
  <c r="A595" i="1"/>
  <c r="K594" i="1"/>
  <c r="A594" i="1"/>
  <c r="K593" i="1"/>
  <c r="A593" i="1"/>
  <c r="K592" i="1"/>
  <c r="A592" i="1"/>
  <c r="K591" i="1"/>
  <c r="A591" i="1"/>
  <c r="K590" i="1"/>
  <c r="A590" i="1"/>
  <c r="K589" i="1"/>
  <c r="A589" i="1"/>
  <c r="K588" i="1"/>
  <c r="A588" i="1"/>
  <c r="K587" i="1"/>
  <c r="A587" i="1"/>
  <c r="K586" i="1"/>
  <c r="A586" i="1"/>
  <c r="K585" i="1"/>
  <c r="A585" i="1"/>
  <c r="K584" i="1"/>
  <c r="A584" i="1"/>
  <c r="K583" i="1"/>
  <c r="A583" i="1"/>
  <c r="K582" i="1"/>
  <c r="A582" i="1"/>
  <c r="K581" i="1"/>
  <c r="A581" i="1"/>
  <c r="K580" i="1"/>
  <c r="A580" i="1"/>
  <c r="K579" i="1"/>
  <c r="A579" i="1"/>
  <c r="K578" i="1"/>
  <c r="A578" i="1"/>
  <c r="K577" i="1"/>
  <c r="A577" i="1"/>
  <c r="K576" i="1"/>
  <c r="A576" i="1"/>
  <c r="K575" i="1"/>
  <c r="A575" i="1"/>
  <c r="K574" i="1"/>
  <c r="A574" i="1"/>
  <c r="K573" i="1"/>
  <c r="A573" i="1"/>
  <c r="K572" i="1"/>
  <c r="A572" i="1"/>
  <c r="K571" i="1"/>
  <c r="A571" i="1"/>
  <c r="K570" i="1"/>
  <c r="A570" i="1"/>
  <c r="K569" i="1"/>
  <c r="A569" i="1"/>
  <c r="K568" i="1"/>
  <c r="A568" i="1"/>
  <c r="K567" i="1"/>
  <c r="A567" i="1"/>
  <c r="K566" i="1"/>
  <c r="A566" i="1"/>
  <c r="K565" i="1"/>
  <c r="A565" i="1"/>
  <c r="K564" i="1"/>
  <c r="A564" i="1"/>
  <c r="K563" i="1"/>
  <c r="A563" i="1"/>
  <c r="K562" i="1"/>
  <c r="A562" i="1"/>
  <c r="K561" i="1"/>
  <c r="A561" i="1"/>
  <c r="K560" i="1"/>
  <c r="A560" i="1"/>
  <c r="K559" i="1"/>
  <c r="A559" i="1"/>
  <c r="K558" i="1"/>
  <c r="A558" i="1"/>
  <c r="K557" i="1"/>
  <c r="A557" i="1"/>
  <c r="K556" i="1"/>
  <c r="A556" i="1"/>
  <c r="K555" i="1"/>
  <c r="A555" i="1"/>
  <c r="K554" i="1"/>
  <c r="A554" i="1"/>
  <c r="K553" i="1"/>
  <c r="A553" i="1"/>
  <c r="K552" i="1"/>
  <c r="A552" i="1"/>
  <c r="K551" i="1"/>
  <c r="A551" i="1"/>
  <c r="K550" i="1"/>
  <c r="A550" i="1"/>
  <c r="K549" i="1"/>
  <c r="A549" i="1"/>
  <c r="K548" i="1"/>
  <c r="A548" i="1"/>
  <c r="K547" i="1"/>
  <c r="A547" i="1"/>
  <c r="K546" i="1"/>
  <c r="A546" i="1"/>
  <c r="K545" i="1"/>
  <c r="A545" i="1"/>
  <c r="K544" i="1"/>
  <c r="A544" i="1"/>
  <c r="K543" i="1"/>
  <c r="A543" i="1"/>
  <c r="K542" i="1"/>
  <c r="A542" i="1"/>
  <c r="K541" i="1"/>
  <c r="A541" i="1"/>
  <c r="K540" i="1"/>
  <c r="A540" i="1"/>
  <c r="K539" i="1"/>
  <c r="A539" i="1"/>
  <c r="K538" i="1"/>
  <c r="A538" i="1"/>
  <c r="K537" i="1"/>
  <c r="A537" i="1"/>
  <c r="K536" i="1"/>
  <c r="A536" i="1"/>
  <c r="K535" i="1"/>
  <c r="A535" i="1"/>
  <c r="K534" i="1"/>
  <c r="A534" i="1"/>
  <c r="K533" i="1"/>
  <c r="A533" i="1"/>
  <c r="K532" i="1"/>
  <c r="A532" i="1"/>
  <c r="K531" i="1"/>
  <c r="A531" i="1"/>
  <c r="K530" i="1"/>
  <c r="A530" i="1"/>
  <c r="K529" i="1"/>
  <c r="A529" i="1"/>
  <c r="K528" i="1"/>
  <c r="A528" i="1"/>
  <c r="K527" i="1"/>
  <c r="A527" i="1"/>
  <c r="K526" i="1"/>
  <c r="A526" i="1"/>
  <c r="K525" i="1"/>
  <c r="A525" i="1"/>
  <c r="K524" i="1"/>
  <c r="A524" i="1"/>
  <c r="K523" i="1"/>
  <c r="A523" i="1"/>
  <c r="K522" i="1"/>
  <c r="A522" i="1"/>
  <c r="K521" i="1"/>
  <c r="A521" i="1"/>
  <c r="K520" i="1"/>
  <c r="A520" i="1"/>
  <c r="K519" i="1"/>
  <c r="A519" i="1"/>
  <c r="K518" i="1"/>
  <c r="A518" i="1"/>
  <c r="K517" i="1"/>
  <c r="A517" i="1"/>
  <c r="K516" i="1"/>
  <c r="A516" i="1"/>
  <c r="K515" i="1"/>
  <c r="A515" i="1"/>
  <c r="K514" i="1"/>
  <c r="A514" i="1"/>
  <c r="K513" i="1"/>
  <c r="A513" i="1"/>
  <c r="K512" i="1"/>
  <c r="A512" i="1"/>
  <c r="K511" i="1"/>
  <c r="A511" i="1"/>
  <c r="K510" i="1"/>
  <c r="A510" i="1"/>
  <c r="K509" i="1"/>
  <c r="A509" i="1"/>
  <c r="K508" i="1"/>
  <c r="A508" i="1"/>
  <c r="K507" i="1"/>
  <c r="A507" i="1"/>
  <c r="K506" i="1"/>
  <c r="A506" i="1"/>
  <c r="K505" i="1"/>
  <c r="A505" i="1"/>
  <c r="K504" i="1"/>
  <c r="A504" i="1"/>
  <c r="K503" i="1"/>
  <c r="A503" i="1"/>
  <c r="K502" i="1"/>
  <c r="A502" i="1"/>
  <c r="K501" i="1"/>
  <c r="A501" i="1"/>
  <c r="K500" i="1"/>
  <c r="A500" i="1"/>
  <c r="K499" i="1"/>
  <c r="A499" i="1"/>
  <c r="K498" i="1"/>
  <c r="A498" i="1"/>
  <c r="K497" i="1"/>
  <c r="A497" i="1"/>
  <c r="K496" i="1"/>
  <c r="A496" i="1"/>
  <c r="K495" i="1"/>
  <c r="A495" i="1"/>
  <c r="K494" i="1"/>
  <c r="A494" i="1"/>
  <c r="K493" i="1"/>
  <c r="A493" i="1"/>
  <c r="K492" i="1"/>
  <c r="A492" i="1"/>
  <c r="K491" i="1"/>
  <c r="A491" i="1"/>
  <c r="K490" i="1"/>
  <c r="A490" i="1"/>
  <c r="K489" i="1"/>
  <c r="A489" i="1"/>
  <c r="K488" i="1"/>
  <c r="A488" i="1"/>
  <c r="K487" i="1"/>
  <c r="A487" i="1"/>
  <c r="K486" i="1"/>
  <c r="A486" i="1"/>
  <c r="K485" i="1"/>
  <c r="A485" i="1"/>
  <c r="K484" i="1"/>
  <c r="A484" i="1"/>
  <c r="K483" i="1"/>
  <c r="A483" i="1"/>
  <c r="K482" i="1"/>
  <c r="A482" i="1"/>
  <c r="K481" i="1"/>
  <c r="A481" i="1"/>
  <c r="K480" i="1"/>
  <c r="A480" i="1"/>
  <c r="K479" i="1"/>
  <c r="A479" i="1"/>
  <c r="K478" i="1"/>
  <c r="A478" i="1"/>
  <c r="K477" i="1"/>
  <c r="A477" i="1"/>
  <c r="K476" i="1"/>
  <c r="A476" i="1"/>
  <c r="K475" i="1"/>
  <c r="A475" i="1"/>
  <c r="K474" i="1"/>
  <c r="A474" i="1"/>
  <c r="K473" i="1"/>
  <c r="A473" i="1"/>
  <c r="K472" i="1"/>
  <c r="A472" i="1"/>
  <c r="K471" i="1"/>
  <c r="A471" i="1"/>
  <c r="K470" i="1"/>
  <c r="A470" i="1"/>
  <c r="K469" i="1"/>
  <c r="A469" i="1"/>
  <c r="K468" i="1"/>
  <c r="A468" i="1"/>
  <c r="K467" i="1"/>
  <c r="A467" i="1"/>
  <c r="K466" i="1"/>
  <c r="A466" i="1"/>
  <c r="K465" i="1"/>
  <c r="A465" i="1"/>
  <c r="K464" i="1"/>
  <c r="A464" i="1"/>
  <c r="K463" i="1"/>
  <c r="A463" i="1"/>
  <c r="K462" i="1"/>
  <c r="A462" i="1"/>
  <c r="K461" i="1"/>
  <c r="A461" i="1"/>
  <c r="K460" i="1"/>
  <c r="A460" i="1"/>
  <c r="K459" i="1"/>
  <c r="A459" i="1"/>
  <c r="K458" i="1"/>
  <c r="A458" i="1"/>
  <c r="K457" i="1"/>
  <c r="A457" i="1"/>
  <c r="K456" i="1"/>
  <c r="A456" i="1"/>
  <c r="K455" i="1"/>
  <c r="A455" i="1"/>
  <c r="K454" i="1"/>
  <c r="A454" i="1"/>
  <c r="K453" i="1"/>
  <c r="A453" i="1"/>
  <c r="K452" i="1"/>
  <c r="A452" i="1"/>
  <c r="K451" i="1"/>
  <c r="A451" i="1"/>
  <c r="K450" i="1"/>
  <c r="A450" i="1"/>
  <c r="K449" i="1"/>
  <c r="A449" i="1"/>
  <c r="K448" i="1"/>
  <c r="A448" i="1"/>
  <c r="K447" i="1"/>
  <c r="A447" i="1"/>
  <c r="K446" i="1"/>
  <c r="A446" i="1"/>
  <c r="K445" i="1"/>
  <c r="A445" i="1"/>
  <c r="K444" i="1"/>
  <c r="A444" i="1"/>
  <c r="K443" i="1"/>
  <c r="A443" i="1"/>
  <c r="K442" i="1"/>
  <c r="A442" i="1"/>
  <c r="K441" i="1"/>
  <c r="A441" i="1"/>
  <c r="K440" i="1"/>
  <c r="A440" i="1"/>
  <c r="K439" i="1"/>
  <c r="A439" i="1"/>
  <c r="K438" i="1"/>
  <c r="A438" i="1"/>
  <c r="K437" i="1"/>
  <c r="A437" i="1"/>
  <c r="K436" i="1"/>
  <c r="A436" i="1"/>
  <c r="K435" i="1"/>
  <c r="A435" i="1"/>
  <c r="K434" i="1"/>
  <c r="A434" i="1"/>
  <c r="K433" i="1"/>
  <c r="A433" i="1"/>
  <c r="K432" i="1"/>
  <c r="A432" i="1"/>
  <c r="K431" i="1"/>
  <c r="A431" i="1"/>
  <c r="K430" i="1"/>
  <c r="A430" i="1"/>
  <c r="K429" i="1"/>
  <c r="A429" i="1"/>
  <c r="K428" i="1"/>
  <c r="A428" i="1"/>
  <c r="K427" i="1"/>
  <c r="A427" i="1"/>
  <c r="K426" i="1"/>
  <c r="A426" i="1"/>
  <c r="K425" i="1"/>
  <c r="A425" i="1"/>
  <c r="K424" i="1"/>
  <c r="A424" i="1"/>
  <c r="K423" i="1"/>
  <c r="A423" i="1"/>
  <c r="K422" i="1"/>
  <c r="A422" i="1"/>
  <c r="K421" i="1"/>
  <c r="A421" i="1"/>
  <c r="K420" i="1"/>
  <c r="A420" i="1"/>
  <c r="K419" i="1"/>
  <c r="A419" i="1"/>
  <c r="K418" i="1"/>
  <c r="A418" i="1"/>
  <c r="K417" i="1"/>
  <c r="A417" i="1"/>
  <c r="K416" i="1"/>
  <c r="A416" i="1"/>
  <c r="K415" i="1"/>
  <c r="A415" i="1"/>
  <c r="K414" i="1"/>
  <c r="A414" i="1"/>
  <c r="K413" i="1"/>
  <c r="A413" i="1"/>
  <c r="K412" i="1"/>
  <c r="A412" i="1"/>
  <c r="K411" i="1"/>
  <c r="A411" i="1"/>
  <c r="K410" i="1"/>
  <c r="A410" i="1"/>
  <c r="K409" i="1"/>
  <c r="A409" i="1"/>
  <c r="K408" i="1"/>
  <c r="A408" i="1"/>
  <c r="K407" i="1"/>
  <c r="A407" i="1"/>
  <c r="K406" i="1"/>
  <c r="A406" i="1"/>
  <c r="K405" i="1"/>
  <c r="A405" i="1"/>
  <c r="K404" i="1"/>
  <c r="A404" i="1"/>
  <c r="K403" i="1"/>
  <c r="A403" i="1"/>
  <c r="K402" i="1"/>
  <c r="A402" i="1"/>
  <c r="K401" i="1"/>
  <c r="A401" i="1"/>
  <c r="K400" i="1"/>
  <c r="A400" i="1"/>
  <c r="K399" i="1"/>
  <c r="A399" i="1"/>
  <c r="K398" i="1"/>
  <c r="A398" i="1"/>
  <c r="K397" i="1"/>
  <c r="A397" i="1"/>
  <c r="K396" i="1"/>
  <c r="A396" i="1"/>
  <c r="K395" i="1"/>
  <c r="A395" i="1"/>
  <c r="K394" i="1"/>
  <c r="A394" i="1"/>
  <c r="K393" i="1"/>
  <c r="A393" i="1"/>
  <c r="K392" i="1"/>
  <c r="A392" i="1"/>
  <c r="K391" i="1"/>
  <c r="A391" i="1"/>
  <c r="K390" i="1"/>
  <c r="A390" i="1"/>
  <c r="K389" i="1"/>
  <c r="A389" i="1"/>
  <c r="K388" i="1"/>
  <c r="A388" i="1"/>
  <c r="K387" i="1"/>
  <c r="A387" i="1"/>
  <c r="K386" i="1"/>
  <c r="A386" i="1"/>
  <c r="K385" i="1"/>
  <c r="A385" i="1"/>
  <c r="K384" i="1"/>
  <c r="A384" i="1"/>
  <c r="K383" i="1"/>
  <c r="A383" i="1"/>
  <c r="K382" i="1"/>
  <c r="A382" i="1"/>
  <c r="K381" i="1"/>
  <c r="A381" i="1"/>
  <c r="K380" i="1"/>
  <c r="A380" i="1"/>
  <c r="K379" i="1"/>
  <c r="A379" i="1"/>
  <c r="K378" i="1"/>
  <c r="A378" i="1"/>
  <c r="K377" i="1"/>
  <c r="A377" i="1"/>
  <c r="K376" i="1"/>
  <c r="A376" i="1"/>
  <c r="K375" i="1"/>
  <c r="A375" i="1"/>
  <c r="K374" i="1"/>
  <c r="A374" i="1"/>
  <c r="K373" i="1"/>
  <c r="A373" i="1"/>
  <c r="K372" i="1"/>
  <c r="A372" i="1"/>
  <c r="K371" i="1"/>
  <c r="A371" i="1"/>
  <c r="K370" i="1"/>
  <c r="A370" i="1"/>
  <c r="K369" i="1"/>
  <c r="A369" i="1"/>
  <c r="K368" i="1"/>
  <c r="A368" i="1"/>
  <c r="K367" i="1"/>
  <c r="A367" i="1"/>
  <c r="K366" i="1"/>
  <c r="A366" i="1"/>
  <c r="K365" i="1"/>
  <c r="A365" i="1"/>
  <c r="K364" i="1"/>
  <c r="A364" i="1"/>
  <c r="K363" i="1"/>
  <c r="A363" i="1"/>
  <c r="K362" i="1"/>
  <c r="A362" i="1"/>
  <c r="K361" i="1"/>
  <c r="A361" i="1"/>
  <c r="K360" i="1"/>
  <c r="A360" i="1"/>
  <c r="K359" i="1"/>
  <c r="A359" i="1"/>
  <c r="K358" i="1"/>
  <c r="A358" i="1"/>
  <c r="K357" i="1"/>
  <c r="A357" i="1"/>
  <c r="K356" i="1"/>
  <c r="A356" i="1"/>
  <c r="K355" i="1"/>
  <c r="A355" i="1"/>
  <c r="K354" i="1"/>
  <c r="A354" i="1"/>
  <c r="K353" i="1"/>
  <c r="A353" i="1"/>
  <c r="K352" i="1"/>
  <c r="A352" i="1"/>
  <c r="K351" i="1"/>
  <c r="A351" i="1"/>
  <c r="K350" i="1"/>
  <c r="A350" i="1"/>
  <c r="K349" i="1"/>
  <c r="A349" i="1"/>
  <c r="K348" i="1"/>
  <c r="A348" i="1"/>
  <c r="K347" i="1"/>
  <c r="A347" i="1"/>
  <c r="K346" i="1"/>
  <c r="A346" i="1"/>
  <c r="K345" i="1"/>
  <c r="A345" i="1"/>
  <c r="K344" i="1"/>
  <c r="A344" i="1"/>
  <c r="K343" i="1"/>
  <c r="A343" i="1"/>
  <c r="K342" i="1"/>
  <c r="A342" i="1"/>
  <c r="K341" i="1"/>
  <c r="A341" i="1"/>
  <c r="K340" i="1"/>
  <c r="A340" i="1"/>
  <c r="K339" i="1"/>
  <c r="A339" i="1"/>
  <c r="K338" i="1"/>
  <c r="A338" i="1"/>
  <c r="K337" i="1"/>
  <c r="A337" i="1"/>
  <c r="K336" i="1"/>
  <c r="A336" i="1"/>
  <c r="K335" i="1"/>
  <c r="A335" i="1"/>
  <c r="K334" i="1"/>
  <c r="A334" i="1"/>
  <c r="K333" i="1"/>
  <c r="A333" i="1"/>
  <c r="K332" i="1"/>
  <c r="A332" i="1"/>
  <c r="K331" i="1"/>
  <c r="A331" i="1"/>
  <c r="K330" i="1"/>
  <c r="A330" i="1"/>
  <c r="K329" i="1"/>
  <c r="A329" i="1"/>
  <c r="K328" i="1"/>
  <c r="A328" i="1"/>
  <c r="K327" i="1"/>
  <c r="A327" i="1"/>
  <c r="K326" i="1"/>
  <c r="A326" i="1"/>
  <c r="K325" i="1"/>
  <c r="A325" i="1"/>
  <c r="K324" i="1"/>
  <c r="A324" i="1"/>
  <c r="K323" i="1"/>
  <c r="A323" i="1"/>
  <c r="K322" i="1"/>
  <c r="A322" i="1"/>
  <c r="K321" i="1"/>
  <c r="A321" i="1"/>
  <c r="K320" i="1"/>
  <c r="A320" i="1"/>
  <c r="K319" i="1"/>
  <c r="A319" i="1"/>
  <c r="K318" i="1"/>
  <c r="A318" i="1"/>
  <c r="K317" i="1"/>
  <c r="A317" i="1"/>
  <c r="K316" i="1"/>
  <c r="A316" i="1"/>
  <c r="K315" i="1"/>
  <c r="A315" i="1"/>
  <c r="K314" i="1"/>
  <c r="A314" i="1"/>
  <c r="K313" i="1"/>
  <c r="A313" i="1"/>
  <c r="K312" i="1"/>
  <c r="A312" i="1"/>
  <c r="K311" i="1"/>
  <c r="A311" i="1"/>
  <c r="K310" i="1"/>
  <c r="A310" i="1"/>
  <c r="K309" i="1"/>
  <c r="A309" i="1"/>
  <c r="K308" i="1"/>
  <c r="A308" i="1"/>
  <c r="K307" i="1"/>
  <c r="A307" i="1"/>
  <c r="K306" i="1"/>
  <c r="A306" i="1"/>
  <c r="K305" i="1"/>
  <c r="A305" i="1"/>
  <c r="K304" i="1"/>
  <c r="A304" i="1"/>
  <c r="K303" i="1"/>
  <c r="A303" i="1"/>
  <c r="K302" i="1"/>
  <c r="A302" i="1"/>
  <c r="K301" i="1"/>
  <c r="A301" i="1"/>
  <c r="K300" i="1"/>
  <c r="A300" i="1"/>
  <c r="K299" i="1"/>
  <c r="A299" i="1"/>
  <c r="K298" i="1"/>
  <c r="A298" i="1"/>
  <c r="K297" i="1"/>
  <c r="A297" i="1"/>
  <c r="K296" i="1"/>
  <c r="A296" i="1"/>
  <c r="K295" i="1"/>
  <c r="A295" i="1"/>
  <c r="K294" i="1"/>
  <c r="A294" i="1"/>
  <c r="K293" i="1"/>
  <c r="A293" i="1"/>
  <c r="K292" i="1"/>
  <c r="A292" i="1"/>
  <c r="K291" i="1"/>
  <c r="A291" i="1"/>
  <c r="K290" i="1"/>
  <c r="A290" i="1"/>
  <c r="K289" i="1"/>
  <c r="A289" i="1"/>
  <c r="K288" i="1"/>
  <c r="A288" i="1"/>
  <c r="K287" i="1"/>
  <c r="A287" i="1"/>
  <c r="K286" i="1"/>
  <c r="A286" i="1"/>
  <c r="K285" i="1"/>
  <c r="A285" i="1"/>
  <c r="K284" i="1"/>
  <c r="A284" i="1"/>
  <c r="K283" i="1"/>
  <c r="A283" i="1"/>
  <c r="K282" i="1"/>
  <c r="A282" i="1"/>
  <c r="K281" i="1"/>
  <c r="A281" i="1"/>
  <c r="K280" i="1"/>
  <c r="A280" i="1"/>
  <c r="K279" i="1"/>
  <c r="A279" i="1"/>
  <c r="K278" i="1"/>
  <c r="A278" i="1"/>
  <c r="K277" i="1"/>
  <c r="A277" i="1"/>
  <c r="K276" i="1"/>
  <c r="A276" i="1"/>
  <c r="K275" i="1"/>
  <c r="A275" i="1"/>
  <c r="K274" i="1"/>
  <c r="A274" i="1"/>
  <c r="K273" i="1"/>
  <c r="A273" i="1"/>
  <c r="K272" i="1"/>
  <c r="A272" i="1"/>
  <c r="K271" i="1"/>
  <c r="A271" i="1"/>
  <c r="K270" i="1"/>
  <c r="A270" i="1"/>
  <c r="K269" i="1"/>
  <c r="A269" i="1"/>
  <c r="K268" i="1"/>
  <c r="A268" i="1"/>
  <c r="K267" i="1"/>
  <c r="A267" i="1"/>
  <c r="K266" i="1"/>
  <c r="A266" i="1"/>
  <c r="K265" i="1"/>
  <c r="A265" i="1"/>
  <c r="K264" i="1"/>
  <c r="A264" i="1"/>
  <c r="K263" i="1"/>
  <c r="A263" i="1"/>
  <c r="K262" i="1"/>
  <c r="A262" i="1"/>
  <c r="K261" i="1"/>
  <c r="A261" i="1"/>
  <c r="K260" i="1"/>
  <c r="A260" i="1"/>
  <c r="K259" i="1"/>
  <c r="A259" i="1"/>
  <c r="K258" i="1"/>
  <c r="A258" i="1"/>
  <c r="K257" i="1"/>
  <c r="A257" i="1"/>
  <c r="K256" i="1"/>
  <c r="A256" i="1"/>
  <c r="K255" i="1"/>
  <c r="A255" i="1"/>
  <c r="K254" i="1"/>
  <c r="A254" i="1"/>
  <c r="K253" i="1"/>
  <c r="A253" i="1"/>
  <c r="K252" i="1"/>
  <c r="A252" i="1"/>
  <c r="K251" i="1"/>
  <c r="A251" i="1"/>
  <c r="K250" i="1"/>
  <c r="A250" i="1"/>
  <c r="K249" i="1"/>
  <c r="A249" i="1"/>
  <c r="K248" i="1"/>
  <c r="A248" i="1"/>
  <c r="K247" i="1"/>
  <c r="A247" i="1"/>
  <c r="K246" i="1"/>
  <c r="A246" i="1"/>
  <c r="K245" i="1"/>
  <c r="A245" i="1"/>
  <c r="K244" i="1"/>
  <c r="A244" i="1"/>
  <c r="K243" i="1"/>
  <c r="A243" i="1"/>
  <c r="K242" i="1"/>
  <c r="A242" i="1"/>
  <c r="K241" i="1"/>
  <c r="A241" i="1"/>
  <c r="K240" i="1"/>
  <c r="A240" i="1"/>
  <c r="K239" i="1"/>
  <c r="A239" i="1"/>
  <c r="K238" i="1"/>
  <c r="A238" i="1"/>
  <c r="K237" i="1"/>
  <c r="A237" i="1"/>
  <c r="K236" i="1"/>
  <c r="A236" i="1"/>
  <c r="K235" i="1"/>
  <c r="A235" i="1"/>
  <c r="K234" i="1"/>
  <c r="A234" i="1"/>
  <c r="K233" i="1"/>
  <c r="A233" i="1"/>
  <c r="K232" i="1"/>
  <c r="A232" i="1"/>
  <c r="K231" i="1"/>
  <c r="A231" i="1"/>
  <c r="K230" i="1"/>
  <c r="A230" i="1"/>
  <c r="K229" i="1"/>
  <c r="A229" i="1"/>
  <c r="K228" i="1"/>
  <c r="A228" i="1"/>
  <c r="K227" i="1"/>
  <c r="A227" i="1"/>
  <c r="K226" i="1"/>
  <c r="A226" i="1"/>
  <c r="K225" i="1"/>
  <c r="A225" i="1"/>
  <c r="K224" i="1"/>
  <c r="A224" i="1"/>
  <c r="K223" i="1"/>
  <c r="A223" i="1"/>
  <c r="K222" i="1"/>
  <c r="A222" i="1"/>
  <c r="K221" i="1"/>
  <c r="A221" i="1"/>
  <c r="K220" i="1"/>
  <c r="A220" i="1"/>
  <c r="K219" i="1"/>
  <c r="A219" i="1"/>
  <c r="K218" i="1"/>
  <c r="A218" i="1"/>
  <c r="K217" i="1"/>
  <c r="A217" i="1"/>
  <c r="K216" i="1"/>
  <c r="A216" i="1"/>
  <c r="K215" i="1"/>
  <c r="A215" i="1"/>
  <c r="K214" i="1"/>
  <c r="A214" i="1"/>
  <c r="K213" i="1"/>
  <c r="A213" i="1"/>
  <c r="K212" i="1"/>
  <c r="A212" i="1"/>
  <c r="K211" i="1"/>
  <c r="A211" i="1"/>
  <c r="K210" i="1"/>
  <c r="A210" i="1"/>
  <c r="K209" i="1"/>
  <c r="A209" i="1"/>
  <c r="K208" i="1"/>
  <c r="A208" i="1"/>
  <c r="K207" i="1"/>
  <c r="A207" i="1"/>
  <c r="K206" i="1"/>
  <c r="A206" i="1"/>
  <c r="K205" i="1"/>
  <c r="A205" i="1"/>
  <c r="K204" i="1"/>
  <c r="A204" i="1"/>
  <c r="K203" i="1"/>
  <c r="A203" i="1"/>
  <c r="K202" i="1"/>
  <c r="A202" i="1"/>
  <c r="K201" i="1"/>
  <c r="A201" i="1"/>
  <c r="K200" i="1"/>
  <c r="A200" i="1"/>
  <c r="K199" i="1"/>
  <c r="A199" i="1"/>
  <c r="K198" i="1"/>
  <c r="A198" i="1"/>
  <c r="K197" i="1"/>
  <c r="A197" i="1"/>
  <c r="K196" i="1"/>
  <c r="A196" i="1"/>
  <c r="K195" i="1"/>
  <c r="A195" i="1"/>
  <c r="K194" i="1"/>
  <c r="A194" i="1"/>
  <c r="K193" i="1"/>
  <c r="A193" i="1"/>
  <c r="K192" i="1"/>
  <c r="A192" i="1"/>
  <c r="K191" i="1"/>
  <c r="A191" i="1"/>
  <c r="K190" i="1"/>
  <c r="A190" i="1"/>
  <c r="K189" i="1"/>
  <c r="A189" i="1"/>
  <c r="K188" i="1"/>
  <c r="A188" i="1"/>
  <c r="K187" i="1"/>
  <c r="A187" i="1"/>
  <c r="K186" i="1"/>
  <c r="A186" i="1"/>
  <c r="K185" i="1"/>
  <c r="A185" i="1"/>
  <c r="K184" i="1"/>
  <c r="A184" i="1"/>
  <c r="K183" i="1"/>
  <c r="A183" i="1"/>
  <c r="K182" i="1"/>
  <c r="A182" i="1"/>
  <c r="K181" i="1"/>
  <c r="A181" i="1"/>
  <c r="K180" i="1"/>
  <c r="A180" i="1"/>
  <c r="K179" i="1"/>
  <c r="A179" i="1"/>
  <c r="K178" i="1"/>
  <c r="A178" i="1"/>
  <c r="K177" i="1"/>
  <c r="A177" i="1"/>
  <c r="K176" i="1"/>
  <c r="A176" i="1"/>
  <c r="K175" i="1"/>
  <c r="A175" i="1"/>
  <c r="K174" i="1"/>
  <c r="A174" i="1"/>
  <c r="K173" i="1"/>
  <c r="A173" i="1"/>
  <c r="K172" i="1"/>
  <c r="A172" i="1"/>
  <c r="K171" i="1"/>
  <c r="A171" i="1"/>
  <c r="K170" i="1"/>
  <c r="A170" i="1"/>
  <c r="K169" i="1"/>
  <c r="A169" i="1"/>
  <c r="K168" i="1"/>
  <c r="A168" i="1"/>
  <c r="K167" i="1"/>
  <c r="A167" i="1"/>
  <c r="K166" i="1"/>
  <c r="A166" i="1"/>
  <c r="K165" i="1"/>
  <c r="A165" i="1"/>
  <c r="K164" i="1"/>
  <c r="A164" i="1"/>
  <c r="K163" i="1"/>
  <c r="A163" i="1"/>
  <c r="K162" i="1"/>
  <c r="A162" i="1"/>
  <c r="K161" i="1"/>
  <c r="A161" i="1"/>
  <c r="K160" i="1"/>
  <c r="A160" i="1"/>
  <c r="K159" i="1"/>
  <c r="A159" i="1"/>
  <c r="K158" i="1"/>
  <c r="A158" i="1"/>
  <c r="K157" i="1"/>
  <c r="A157" i="1"/>
  <c r="K156" i="1"/>
  <c r="A156" i="1"/>
  <c r="K155" i="1"/>
  <c r="A155" i="1"/>
  <c r="K154" i="1"/>
  <c r="A154" i="1"/>
  <c r="K153" i="1"/>
  <c r="A153" i="1"/>
  <c r="K152" i="1"/>
  <c r="A152" i="1"/>
  <c r="K151" i="1"/>
  <c r="A151" i="1"/>
  <c r="K150" i="1"/>
  <c r="A150" i="1"/>
  <c r="K149" i="1"/>
  <c r="A149" i="1"/>
  <c r="K148" i="1"/>
  <c r="A148" i="1"/>
  <c r="K147" i="1"/>
  <c r="A147" i="1"/>
  <c r="K146" i="1"/>
  <c r="A146" i="1"/>
  <c r="K145" i="1"/>
  <c r="A145" i="1"/>
  <c r="K144" i="1"/>
  <c r="A144" i="1"/>
  <c r="K143" i="1"/>
  <c r="A143" i="1"/>
  <c r="K142" i="1"/>
  <c r="A142" i="1"/>
  <c r="K141" i="1"/>
  <c r="A141" i="1"/>
  <c r="K140" i="1"/>
  <c r="A140" i="1"/>
  <c r="K139" i="1"/>
  <c r="A139" i="1"/>
  <c r="K138" i="1"/>
  <c r="A138" i="1"/>
  <c r="K137" i="1"/>
  <c r="A137" i="1"/>
  <c r="K136" i="1"/>
  <c r="A136" i="1"/>
  <c r="K135" i="1"/>
  <c r="A135" i="1"/>
  <c r="K134" i="1"/>
  <c r="A134" i="1"/>
  <c r="K133" i="1"/>
  <c r="A133" i="1"/>
  <c r="K132" i="1"/>
  <c r="A132" i="1"/>
  <c r="K131" i="1"/>
  <c r="A131" i="1"/>
  <c r="K130" i="1"/>
  <c r="A130" i="1"/>
  <c r="K129" i="1"/>
  <c r="A129" i="1"/>
  <c r="K128" i="1"/>
  <c r="A128" i="1"/>
  <c r="K127" i="1"/>
  <c r="A127" i="1"/>
  <c r="K126" i="1"/>
  <c r="A126" i="1"/>
  <c r="K125" i="1"/>
  <c r="A125" i="1"/>
  <c r="K124" i="1"/>
  <c r="A124" i="1"/>
  <c r="K123" i="1"/>
  <c r="A123" i="1"/>
  <c r="K122" i="1"/>
  <c r="A122" i="1"/>
  <c r="K121" i="1"/>
  <c r="A121" i="1"/>
  <c r="K120" i="1"/>
  <c r="A120" i="1"/>
  <c r="K119" i="1"/>
  <c r="A119" i="1"/>
  <c r="K118" i="1"/>
  <c r="A118" i="1"/>
  <c r="K117" i="1"/>
  <c r="A117" i="1"/>
  <c r="K116" i="1"/>
  <c r="A116" i="1"/>
  <c r="K115" i="1"/>
  <c r="A115" i="1"/>
  <c r="K114" i="1"/>
  <c r="A114" i="1"/>
  <c r="K113" i="1"/>
  <c r="A113" i="1"/>
  <c r="K112" i="1"/>
  <c r="A112" i="1"/>
  <c r="K111" i="1"/>
  <c r="A111" i="1"/>
  <c r="K110" i="1"/>
  <c r="A110" i="1"/>
  <c r="K109" i="1"/>
  <c r="A109" i="1"/>
  <c r="K108" i="1"/>
  <c r="A108" i="1"/>
  <c r="K107" i="1"/>
  <c r="A107" i="1"/>
  <c r="K106" i="1"/>
  <c r="A106" i="1"/>
  <c r="K105" i="1"/>
  <c r="A105" i="1"/>
  <c r="K104" i="1"/>
  <c r="A104" i="1"/>
  <c r="K103" i="1"/>
  <c r="A103" i="1"/>
  <c r="K102" i="1"/>
  <c r="A102" i="1"/>
  <c r="K101" i="1"/>
  <c r="A101" i="1"/>
  <c r="K100" i="1"/>
  <c r="A100" i="1"/>
  <c r="K99" i="1"/>
  <c r="A99" i="1"/>
  <c r="K98" i="1"/>
  <c r="A98" i="1"/>
  <c r="K97" i="1"/>
  <c r="A97" i="1"/>
  <c r="K96" i="1"/>
  <c r="A96" i="1"/>
  <c r="K95" i="1"/>
  <c r="A95" i="1"/>
  <c r="K94" i="1"/>
  <c r="A94" i="1"/>
  <c r="K93" i="1"/>
  <c r="A93" i="1"/>
  <c r="K92" i="1"/>
  <c r="A92" i="1"/>
  <c r="K91" i="1"/>
  <c r="A91" i="1"/>
  <c r="K90" i="1"/>
  <c r="A90" i="1"/>
  <c r="K89" i="1"/>
  <c r="A89" i="1"/>
  <c r="K88" i="1"/>
  <c r="A88" i="1"/>
  <c r="K87" i="1"/>
  <c r="A87" i="1"/>
  <c r="K86" i="1"/>
  <c r="A86" i="1"/>
  <c r="K85" i="1"/>
  <c r="A85" i="1"/>
  <c r="K84" i="1"/>
  <c r="A84" i="1"/>
  <c r="K83" i="1"/>
  <c r="A83" i="1"/>
  <c r="K82" i="1"/>
  <c r="A82" i="1"/>
  <c r="K81" i="1"/>
  <c r="A81" i="1"/>
  <c r="K80" i="1"/>
  <c r="A80" i="1"/>
  <c r="K79" i="1"/>
  <c r="A79" i="1"/>
  <c r="K78" i="1"/>
  <c r="A78" i="1"/>
  <c r="K77" i="1"/>
  <c r="A77" i="1"/>
  <c r="K76" i="1"/>
  <c r="A76" i="1"/>
  <c r="K75" i="1"/>
  <c r="A75" i="1"/>
  <c r="K74" i="1"/>
  <c r="A74" i="1"/>
  <c r="K73" i="1"/>
  <c r="A73" i="1"/>
  <c r="K72" i="1"/>
  <c r="A72" i="1"/>
  <c r="K71" i="1"/>
  <c r="A71" i="1"/>
  <c r="K70" i="1"/>
  <c r="A70" i="1"/>
  <c r="K69" i="1"/>
  <c r="A69" i="1"/>
  <c r="K68" i="1"/>
  <c r="A68" i="1"/>
  <c r="K67" i="1"/>
  <c r="A67" i="1"/>
  <c r="K66" i="1"/>
  <c r="A66" i="1"/>
  <c r="K65" i="1"/>
  <c r="A65" i="1"/>
  <c r="K64" i="1"/>
  <c r="A64" i="1"/>
  <c r="K63" i="1"/>
  <c r="A63" i="1"/>
  <c r="K62" i="1"/>
  <c r="A62" i="1"/>
  <c r="K61" i="1"/>
  <c r="A61" i="1"/>
  <c r="K60" i="1"/>
  <c r="A60" i="1"/>
  <c r="K59" i="1"/>
  <c r="A59" i="1"/>
  <c r="K58" i="1"/>
  <c r="A58" i="1"/>
  <c r="K57" i="1"/>
  <c r="A57" i="1"/>
  <c r="K56" i="1"/>
  <c r="A56" i="1"/>
  <c r="K55" i="1"/>
  <c r="A55" i="1"/>
  <c r="K54" i="1"/>
  <c r="A54" i="1"/>
  <c r="K53" i="1"/>
  <c r="A53" i="1"/>
  <c r="K52" i="1"/>
  <c r="A52" i="1"/>
  <c r="K51" i="1"/>
  <c r="A51" i="1"/>
  <c r="K50" i="1"/>
  <c r="A50" i="1"/>
  <c r="K49" i="1"/>
  <c r="A49" i="1"/>
  <c r="K48" i="1"/>
  <c r="A48" i="1"/>
  <c r="K47" i="1"/>
  <c r="A47" i="1"/>
  <c r="K46" i="1"/>
  <c r="A46" i="1"/>
  <c r="K45" i="1"/>
  <c r="A45" i="1"/>
  <c r="K44" i="1"/>
  <c r="A44" i="1"/>
  <c r="K43" i="1"/>
  <c r="A43" i="1"/>
  <c r="K42" i="1"/>
  <c r="A42" i="1"/>
  <c r="K41" i="1"/>
  <c r="A41" i="1"/>
  <c r="K40" i="1"/>
  <c r="A40" i="1"/>
  <c r="K39" i="1"/>
  <c r="A39" i="1"/>
  <c r="K38" i="1"/>
  <c r="A38" i="1"/>
  <c r="K37" i="1"/>
  <c r="A37" i="1"/>
  <c r="K36" i="1"/>
  <c r="A36" i="1"/>
  <c r="K35" i="1"/>
  <c r="A35" i="1"/>
  <c r="K34" i="1"/>
  <c r="A34" i="1"/>
  <c r="K33" i="1"/>
  <c r="A33" i="1"/>
  <c r="K32" i="1"/>
  <c r="A32" i="1"/>
  <c r="K31" i="1"/>
  <c r="A31" i="1"/>
  <c r="K30" i="1"/>
  <c r="A30" i="1"/>
  <c r="K29" i="1"/>
  <c r="A29" i="1"/>
  <c r="K28" i="1"/>
  <c r="A28" i="1"/>
  <c r="K27" i="1"/>
  <c r="A27" i="1"/>
  <c r="K26" i="1"/>
  <c r="A26" i="1"/>
  <c r="K25" i="1"/>
  <c r="A25" i="1"/>
  <c r="K24" i="1"/>
  <c r="A24" i="1"/>
  <c r="K23" i="1"/>
  <c r="A23" i="1"/>
  <c r="K22" i="1"/>
  <c r="A22" i="1"/>
  <c r="K21" i="1"/>
  <c r="A21" i="1"/>
  <c r="K20" i="1"/>
  <c r="A20" i="1"/>
  <c r="K19" i="1"/>
  <c r="A19" i="1"/>
  <c r="K18" i="1"/>
  <c r="A18" i="1"/>
  <c r="K17" i="1"/>
  <c r="A17" i="1"/>
  <c r="K16" i="1"/>
  <c r="A16" i="1"/>
  <c r="K15" i="1"/>
  <c r="A15" i="1"/>
  <c r="K14" i="1"/>
  <c r="A14" i="1"/>
  <c r="K13" i="1"/>
  <c r="A13" i="1"/>
  <c r="K12" i="1"/>
  <c r="A12" i="1"/>
  <c r="K11" i="1"/>
  <c r="A11" i="1"/>
  <c r="K10" i="1"/>
  <c r="A10" i="1"/>
  <c r="K9" i="1"/>
  <c r="A9" i="1"/>
  <c r="K8" i="1"/>
  <c r="A8" i="1"/>
  <c r="K7" i="1"/>
  <c r="A7" i="1"/>
  <c r="K6" i="1"/>
  <c r="A6" i="1"/>
  <c r="K5" i="1"/>
  <c r="A5" i="1"/>
  <c r="K4" i="1"/>
  <c r="A4" i="1"/>
</calcChain>
</file>

<file path=xl/sharedStrings.xml><?xml version="1.0" encoding="utf-8"?>
<sst xmlns="http://schemas.openxmlformats.org/spreadsheetml/2006/main" count="17338" uniqueCount="4619">
  <si>
    <t>DATA PENDUDUK KAMPUNG KADUN JAYA</t>
  </si>
  <si>
    <t>NO</t>
  </si>
  <si>
    <t>NO. KK</t>
  </si>
  <si>
    <t>NIK</t>
  </si>
  <si>
    <t>NAMA</t>
  </si>
  <si>
    <t>JENIS KELAMIN</t>
  </si>
  <si>
    <t>TEMPAT LAHIR</t>
  </si>
  <si>
    <t>TANGGAL LAHIR</t>
  </si>
  <si>
    <t>AGAMA</t>
  </si>
  <si>
    <t>PEKERJAAN</t>
  </si>
  <si>
    <t>STATUS DLM KELUARGA</t>
  </si>
  <si>
    <t>UMUR</t>
  </si>
  <si>
    <t>ALAMAT</t>
  </si>
  <si>
    <t>9109012701120047</t>
  </si>
  <si>
    <t>9109011907860010</t>
  </si>
  <si>
    <t>ABRAHAM WEMAF</t>
  </si>
  <si>
    <t>LAKI-LAKI</t>
  </si>
  <si>
    <t>OHOINOL</t>
  </si>
  <si>
    <t>KATHOLIK</t>
  </si>
  <si>
    <t>WIRASWASTA</t>
  </si>
  <si>
    <t>KEPALA KELUARGA</t>
  </si>
  <si>
    <t>RT 01</t>
  </si>
  <si>
    <t>9109014808750011</t>
  </si>
  <si>
    <t>PAULA SUSYANA</t>
  </si>
  <si>
    <t>PEREMPUAN</t>
  </si>
  <si>
    <t>BANYUWANGI</t>
  </si>
  <si>
    <t>IRT</t>
  </si>
  <si>
    <t>ISTRI</t>
  </si>
  <si>
    <t>9109164711120001</t>
  </si>
  <si>
    <t>DIAH AYU CANTIKA WEMAF</t>
  </si>
  <si>
    <t>TIMIKA</t>
  </si>
  <si>
    <t>PELAJAR/MAHASISWA</t>
  </si>
  <si>
    <t>ANAK</t>
  </si>
  <si>
    <t>3510245010820001</t>
  </si>
  <si>
    <t>MASRIYANI</t>
  </si>
  <si>
    <t>ISLAM</t>
  </si>
  <si>
    <t>PETANI</t>
  </si>
  <si>
    <t>FAMILI LAIN</t>
  </si>
  <si>
    <t>8102134809940001</t>
  </si>
  <si>
    <t>KRESENSIA FABUMASE</t>
  </si>
  <si>
    <t>BELUM/TIDAK BEKERJA</t>
  </si>
  <si>
    <t>8102134307040001</t>
  </si>
  <si>
    <t>FELOMENA MARSELINA WEMAF</t>
  </si>
  <si>
    <t>9109013110110049</t>
  </si>
  <si>
    <t>9109091804800004</t>
  </si>
  <si>
    <t>MAS'UD</t>
  </si>
  <si>
    <t>LAMONGAN</t>
  </si>
  <si>
    <t>3504115807990005</t>
  </si>
  <si>
    <t>MIRA ROSA AMARINDA</t>
  </si>
  <si>
    <t>TULUNGAGUNG</t>
  </si>
  <si>
    <t>9404162305250007</t>
  </si>
  <si>
    <t>3524090111930002</t>
  </si>
  <si>
    <t>HABIB RUSLI</t>
  </si>
  <si>
    <t>3524095009150002</t>
  </si>
  <si>
    <t>ADEEVA MAHARA PUTRI KHABILA</t>
  </si>
  <si>
    <t>9404160809230002</t>
  </si>
  <si>
    <t>9109035509750001</t>
  </si>
  <si>
    <t>HANA</t>
  </si>
  <si>
    <t>PURWODADI</t>
  </si>
  <si>
    <t>9109035808670002</t>
  </si>
  <si>
    <t>KUSTINI</t>
  </si>
  <si>
    <t>SITUBONDO</t>
  </si>
  <si>
    <t>9109034107770003</t>
  </si>
  <si>
    <t>SUKESI</t>
  </si>
  <si>
    <t>BLORA</t>
  </si>
  <si>
    <t>9109161106190006</t>
  </si>
  <si>
    <t>3502075512700002</t>
  </si>
  <si>
    <t>SUKATI</t>
  </si>
  <si>
    <t>PONOROGO</t>
  </si>
  <si>
    <t>3502070908820001</t>
  </si>
  <si>
    <t>RUDIANTO</t>
  </si>
  <si>
    <t>3502065811860001</t>
  </si>
  <si>
    <t>IMACULATA IDA NURYANI</t>
  </si>
  <si>
    <t>KARYAWAN SWASTA</t>
  </si>
  <si>
    <t>9109160210190001</t>
  </si>
  <si>
    <t>9109031707840001</t>
  </si>
  <si>
    <t>A. KHUSNUL KHAYAN</t>
  </si>
  <si>
    <t>8107016009860002</t>
  </si>
  <si>
    <t>FERAWATI</t>
  </si>
  <si>
    <t>SURABAYA</t>
  </si>
  <si>
    <t>9109036301080001</t>
  </si>
  <si>
    <t>AULIA CITRA RARA ANGGRAINI</t>
  </si>
  <si>
    <t>9109165404200002</t>
  </si>
  <si>
    <t>VIONA AURELIA PUTRI</t>
  </si>
  <si>
    <t>9404160602250007</t>
  </si>
  <si>
    <t>9103026802800001</t>
  </si>
  <si>
    <t>SITI KOTIMAH</t>
  </si>
  <si>
    <t>BOJONEGORO</t>
  </si>
  <si>
    <t>3522041711990004</t>
  </si>
  <si>
    <t>RONI FUTIRE</t>
  </si>
  <si>
    <t>9109092810100007</t>
  </si>
  <si>
    <t>9109091005740001</t>
  </si>
  <si>
    <t>SYALENDRA</t>
  </si>
  <si>
    <t>BELAMBANGAN</t>
  </si>
  <si>
    <t>POLRI</t>
  </si>
  <si>
    <t>9109035109780001</t>
  </si>
  <si>
    <t>ZULAIKA</t>
  </si>
  <si>
    <t>9109031204980001</t>
  </si>
  <si>
    <t>GITA NUR APRILIANTO</t>
  </si>
  <si>
    <t>9109030112040001</t>
  </si>
  <si>
    <t>EGY MAULANA</t>
  </si>
  <si>
    <t>9109094804060001</t>
  </si>
  <si>
    <t>NAJLA ALFA SYIFA FIENDRA</t>
  </si>
  <si>
    <t>9109166202180004</t>
  </si>
  <si>
    <t>ALYA NAFISHA MULIDAYA</t>
  </si>
  <si>
    <t>9109030904100006</t>
  </si>
  <si>
    <t>9109032301800001</t>
  </si>
  <si>
    <t>NUR CHOZIM</t>
  </si>
  <si>
    <t>9108034601830001</t>
  </si>
  <si>
    <t>TRINAYU INDAH</t>
  </si>
  <si>
    <t>AMBON</t>
  </si>
  <si>
    <t>9109034308030002</t>
  </si>
  <si>
    <t>DELLA AYU PERMATASARI</t>
  </si>
  <si>
    <t>9109032006120001</t>
  </si>
  <si>
    <t>DHECO SATRIA ANDRIANSYAH</t>
  </si>
  <si>
    <t>9109032105100009</t>
  </si>
  <si>
    <t>9109031708670001</t>
  </si>
  <si>
    <t>AGUS K</t>
  </si>
  <si>
    <t>PANGKEP</t>
  </si>
  <si>
    <t>9109035908740001</t>
  </si>
  <si>
    <t>NURJANNAH</t>
  </si>
  <si>
    <t>9109032207960001</t>
  </si>
  <si>
    <t>NASRULLAH</t>
  </si>
  <si>
    <t>9109032011010001</t>
  </si>
  <si>
    <t>FIRMANSYAH</t>
  </si>
  <si>
    <t>9109032610040001</t>
  </si>
  <si>
    <t>SYAHRUL RAMADHAN</t>
  </si>
  <si>
    <t>9109030505070001</t>
  </si>
  <si>
    <t>IRWANSYAH</t>
  </si>
  <si>
    <t>7310086705050001</t>
  </si>
  <si>
    <t>SRI RESKI</t>
  </si>
  <si>
    <t>9109032801140001</t>
  </si>
  <si>
    <t>9109032603920001</t>
  </si>
  <si>
    <t>PAJARUDDIN</t>
  </si>
  <si>
    <t>JAYAPURA</t>
  </si>
  <si>
    <t>3208124208950000</t>
  </si>
  <si>
    <t>SITI CAHAYA NUGRAWATI</t>
  </si>
  <si>
    <t>MALUKU</t>
  </si>
  <si>
    <t>9109150712160003</t>
  </si>
  <si>
    <t>MUHAMMAD KANHA WIRA BINTANG PRATAMA</t>
  </si>
  <si>
    <t>9109030706210002</t>
  </si>
  <si>
    <t>9109030505810002</t>
  </si>
  <si>
    <t>KAHARUDDIN</t>
  </si>
  <si>
    <t>SEGERI</t>
  </si>
  <si>
    <t>9109030808140002</t>
  </si>
  <si>
    <t>9109032306730001</t>
  </si>
  <si>
    <t>ABDURAHIM RAJAB</t>
  </si>
  <si>
    <t>GESER</t>
  </si>
  <si>
    <t>3510166001810002</t>
  </si>
  <si>
    <t>YATIAH</t>
  </si>
  <si>
    <t>PEDAGANG</t>
  </si>
  <si>
    <t>9109011106110006</t>
  </si>
  <si>
    <t>ABDUL RAJAB</t>
  </si>
  <si>
    <t>9109012409120004</t>
  </si>
  <si>
    <t>ZUL FAHMI</t>
  </si>
  <si>
    <t>9109011503170005</t>
  </si>
  <si>
    <t>9109010107910032</t>
  </si>
  <si>
    <t>MUH. RIZAL</t>
  </si>
  <si>
    <t>BIAK</t>
  </si>
  <si>
    <t>9109016201870001</t>
  </si>
  <si>
    <t>KHAMSIAH NURLELA BUGIS</t>
  </si>
  <si>
    <t>FAK FAK</t>
  </si>
  <si>
    <t>PNS</t>
  </si>
  <si>
    <t>9109016602100002</t>
  </si>
  <si>
    <t>ROBIAH SALSABILAH MAULANA BUGIS</t>
  </si>
  <si>
    <t>9404160809230004</t>
  </si>
  <si>
    <t>9109034310660001</t>
  </si>
  <si>
    <t>WATI</t>
  </si>
  <si>
    <t>9109034606750002</t>
  </si>
  <si>
    <t>SRI UNTARI</t>
  </si>
  <si>
    <t>BOYOLALI</t>
  </si>
  <si>
    <t>9109030207100002</t>
  </si>
  <si>
    <t>9109030507590002</t>
  </si>
  <si>
    <t>SUMARJO</t>
  </si>
  <si>
    <t>SEMARANG</t>
  </si>
  <si>
    <t>9109034307690001</t>
  </si>
  <si>
    <t>AMI LESTARI</t>
  </si>
  <si>
    <t>3502215110950001</t>
  </si>
  <si>
    <t>ANIS WULANTIKA</t>
  </si>
  <si>
    <t>3524123103210010</t>
  </si>
  <si>
    <t>3524091210820004</t>
  </si>
  <si>
    <t>ZAINUL ARIFIN</t>
  </si>
  <si>
    <t>3524126011930001</t>
  </si>
  <si>
    <t>LASMINI NUR AINI</t>
  </si>
  <si>
    <t>3524126101160001</t>
  </si>
  <si>
    <t>AYUNDA PUTRI DEWI PRATAMA</t>
  </si>
  <si>
    <t>9109160211220001</t>
  </si>
  <si>
    <t>9109161010520001</t>
  </si>
  <si>
    <t>SUPAR</t>
  </si>
  <si>
    <t>SRAGEN</t>
  </si>
  <si>
    <t>9109032607100002</t>
  </si>
  <si>
    <t>9109031710740002</t>
  </si>
  <si>
    <t>SUDIONO HADI SAPUTRA</t>
  </si>
  <si>
    <t>9109034305800004</t>
  </si>
  <si>
    <t>SRI LESTARI</t>
  </si>
  <si>
    <t>KEDIRI</t>
  </si>
  <si>
    <t>9109036012070002</t>
  </si>
  <si>
    <t>MUTIARA PUTRI KHOIRUN NISA</t>
  </si>
  <si>
    <t>9404166904170001</t>
  </si>
  <si>
    <t>NADIN ANISTASYA PRADITA</t>
  </si>
  <si>
    <t>9404161709190001</t>
  </si>
  <si>
    <t>ATHA HAFIS ALFAREZI</t>
  </si>
  <si>
    <t>9109012309110007</t>
  </si>
  <si>
    <t>9109011508700009</t>
  </si>
  <si>
    <t>HERMAN</t>
  </si>
  <si>
    <t>BARRU</t>
  </si>
  <si>
    <t>9109160109200003</t>
  </si>
  <si>
    <t>3578175004200007</t>
  </si>
  <si>
    <t>MIMIKA</t>
  </si>
  <si>
    <t>9109013008120009</t>
  </si>
  <si>
    <t>9109010607880024</t>
  </si>
  <si>
    <t>AGUSTINUS PRAYITNO</t>
  </si>
  <si>
    <t>9109014408880014</t>
  </si>
  <si>
    <t>SAPIRA SAREMAN</t>
  </si>
  <si>
    <t>BENJURING</t>
  </si>
  <si>
    <t>9109167012120002</t>
  </si>
  <si>
    <t>WIDIA NINGZE SAREMAN</t>
  </si>
  <si>
    <t>9109164507160001</t>
  </si>
  <si>
    <t>FITRI NINGSIH SAREMAN</t>
  </si>
  <si>
    <t>9109032105100030</t>
  </si>
  <si>
    <t>9109031103740001</t>
  </si>
  <si>
    <t>JUMAR</t>
  </si>
  <si>
    <t>9109034505780001</t>
  </si>
  <si>
    <t>LAMIJAH AL MASNIATUN</t>
  </si>
  <si>
    <t>9109034509980001</t>
  </si>
  <si>
    <t>FITA RISKY PURNIAWATI</t>
  </si>
  <si>
    <t>9109032211060001</t>
  </si>
  <si>
    <t>FIRMAN ARUN SAMUDRA</t>
  </si>
  <si>
    <t>9109165112160001</t>
  </si>
  <si>
    <t>MEDINA HAFIZAH</t>
  </si>
  <si>
    <t>9109160908210001</t>
  </si>
  <si>
    <t>MUHAMMAD MIRZA MARDIKA</t>
  </si>
  <si>
    <t>9109162711190004</t>
  </si>
  <si>
    <t>7310117107010002</t>
  </si>
  <si>
    <t>KARTIKA NAING</t>
  </si>
  <si>
    <t>9109030305100003</t>
  </si>
  <si>
    <t>9109031004790001</t>
  </si>
  <si>
    <t>MOH. AMINUDIN</t>
  </si>
  <si>
    <t>TULUNG AGUNG</t>
  </si>
  <si>
    <t>9109034303830001</t>
  </si>
  <si>
    <t>ERNIK SUSANTI</t>
  </si>
  <si>
    <t>9109031503050001</t>
  </si>
  <si>
    <t>FAJAR ABDI FINANDA</t>
  </si>
  <si>
    <t>9109164310170002</t>
  </si>
  <si>
    <t xml:space="preserve">MECCA SAFIRA </t>
  </si>
  <si>
    <t>9109033003110001</t>
  </si>
  <si>
    <t>9109030207840001</t>
  </si>
  <si>
    <t>MOCH. YUSUF</t>
  </si>
  <si>
    <t>9109035008660001</t>
  </si>
  <si>
    <t>YATIMA</t>
  </si>
  <si>
    <t>9109032405860002</t>
  </si>
  <si>
    <t>SUPARMAN</t>
  </si>
  <si>
    <t>9109035212870002</t>
  </si>
  <si>
    <t>SUPRIYANTI</t>
  </si>
  <si>
    <t>9109032104950001</t>
  </si>
  <si>
    <t>MOCH. JUNAIDI</t>
  </si>
  <si>
    <t>SIWURAN</t>
  </si>
  <si>
    <t>9109032205070001</t>
  </si>
  <si>
    <t>ANDIKA MELASANDY</t>
  </si>
  <si>
    <t>9109161509200010</t>
  </si>
  <si>
    <t>7310114311980001</t>
  </si>
  <si>
    <t>NURHIKMA</t>
  </si>
  <si>
    <t>KATTENA</t>
  </si>
  <si>
    <t>9109162207200002</t>
  </si>
  <si>
    <t>9109030907800001</t>
  </si>
  <si>
    <t>ABU KHOIRI</t>
  </si>
  <si>
    <t>3507077007880010</t>
  </si>
  <si>
    <t>TUTIK</t>
  </si>
  <si>
    <t>MALANG</t>
  </si>
  <si>
    <t>9112090101770001</t>
  </si>
  <si>
    <t>PANUT WIDODO</t>
  </si>
  <si>
    <t>KLATEN</t>
  </si>
  <si>
    <t>3502070112090069</t>
  </si>
  <si>
    <t>3502072707720002</t>
  </si>
  <si>
    <t>3502075809800001</t>
  </si>
  <si>
    <t>MARTIN</t>
  </si>
  <si>
    <t>3502070609110001</t>
  </si>
  <si>
    <t>DAVA DUWI HAMZAH</t>
  </si>
  <si>
    <t>9109162809220001</t>
  </si>
  <si>
    <t>1102041010010007</t>
  </si>
  <si>
    <t>AULIA RAHMAN</t>
  </si>
  <si>
    <t>PULO SANGGAR</t>
  </si>
  <si>
    <t>1102041010010008</t>
  </si>
  <si>
    <t>AULIA RAHIM</t>
  </si>
  <si>
    <t>9109016063170004</t>
  </si>
  <si>
    <t>9109031503650001</t>
  </si>
  <si>
    <t>SUKARJI</t>
  </si>
  <si>
    <t>9109163011200007</t>
  </si>
  <si>
    <t>9109034202810001</t>
  </si>
  <si>
    <t>TINI</t>
  </si>
  <si>
    <t>TUBAN</t>
  </si>
  <si>
    <t>9109161004170001</t>
  </si>
  <si>
    <t>STEVEN APRILIO JULIO</t>
  </si>
  <si>
    <t>9109160301200038</t>
  </si>
  <si>
    <t>9109160108540001</t>
  </si>
  <si>
    <t>RADI</t>
  </si>
  <si>
    <t>9109037003610001</t>
  </si>
  <si>
    <t>SITI ASLAMAH</t>
  </si>
  <si>
    <t>3522040205880008</t>
  </si>
  <si>
    <t>RANTO SUGIANTO</t>
  </si>
  <si>
    <t>9109032105100010</t>
  </si>
  <si>
    <t>9109030212710001</t>
  </si>
  <si>
    <t>AHMAD</t>
  </si>
  <si>
    <t>9109035902730001</t>
  </si>
  <si>
    <t>SADDIAH</t>
  </si>
  <si>
    <t>9109031606010002</t>
  </si>
  <si>
    <t>ZULKIFLI</t>
  </si>
  <si>
    <t>9109034909050001</t>
  </si>
  <si>
    <t>NUR JIHAN</t>
  </si>
  <si>
    <t>9109030604100003</t>
  </si>
  <si>
    <t>9109031312870001</t>
  </si>
  <si>
    <t>ABDUL SALAM</t>
  </si>
  <si>
    <t>9109035001870001</t>
  </si>
  <si>
    <t>ANI WAHYUNINGSIH</t>
  </si>
  <si>
    <t>9109036202090001</t>
  </si>
  <si>
    <t>CITRA NAZILATUL RAHMA</t>
  </si>
  <si>
    <t>9109165311160001</t>
  </si>
  <si>
    <t>GENDHIS NAURA AL - JASIYAH</t>
  </si>
  <si>
    <t>9109031110110004</t>
  </si>
  <si>
    <t>9109031903780001</t>
  </si>
  <si>
    <t>ASRIANDI</t>
  </si>
  <si>
    <t>9109034203910002</t>
  </si>
  <si>
    <t>SALMAWATI</t>
  </si>
  <si>
    <t>BAWASALO</t>
  </si>
  <si>
    <t>9109032403090002</t>
  </si>
  <si>
    <t>9109161808130001</t>
  </si>
  <si>
    <t>FARHAN</t>
  </si>
  <si>
    <t>9109160803190001</t>
  </si>
  <si>
    <t>FARSYAH</t>
  </si>
  <si>
    <t>9109161301210004</t>
  </si>
  <si>
    <t>9109016502690002</t>
  </si>
  <si>
    <t>YATINI</t>
  </si>
  <si>
    <t>TRENGGALEK</t>
  </si>
  <si>
    <t>9109160210320007</t>
  </si>
  <si>
    <t>3521122903860001</t>
  </si>
  <si>
    <t>PURNOMO</t>
  </si>
  <si>
    <t>NGAWI</t>
  </si>
  <si>
    <t>3521017303750001</t>
  </si>
  <si>
    <t>SITI MAISAROH</t>
  </si>
  <si>
    <t>PEMALANG</t>
  </si>
  <si>
    <t>9109032105100028</t>
  </si>
  <si>
    <t>9109031307780002</t>
  </si>
  <si>
    <t>SUBIANTORO</t>
  </si>
  <si>
    <t>9109034904780001</t>
  </si>
  <si>
    <t>SUMARMI</t>
  </si>
  <si>
    <t>JOMBANG</t>
  </si>
  <si>
    <t>9109161102120001</t>
  </si>
  <si>
    <t>MUHAMMAD FEBRI ARIANTO</t>
  </si>
  <si>
    <t>9109165905150001</t>
  </si>
  <si>
    <t>SEKAR SAI NURJANNAH</t>
  </si>
  <si>
    <t>9109033107100038</t>
  </si>
  <si>
    <t>9109030908710001</t>
  </si>
  <si>
    <t>RUSLAN ALAN</t>
  </si>
  <si>
    <t>UJUNG PANDANG</t>
  </si>
  <si>
    <t>9109035908730001</t>
  </si>
  <si>
    <t>YAYUK SUNING</t>
  </si>
  <si>
    <t>9109032710940001</t>
  </si>
  <si>
    <t>M. JEFRI ADI MARDIUS</t>
  </si>
  <si>
    <t>9109035510050001</t>
  </si>
  <si>
    <t>SITI PUTRI WULAN RAMADHANI</t>
  </si>
  <si>
    <t>9109035509450001</t>
  </si>
  <si>
    <t>SRIANA</t>
  </si>
  <si>
    <t>MERTUA</t>
  </si>
  <si>
    <t>9109032109100001</t>
  </si>
  <si>
    <t>9109032707660002</t>
  </si>
  <si>
    <t>ALFONS OWOKUPU</t>
  </si>
  <si>
    <t>KAUGAPU</t>
  </si>
  <si>
    <t>9109036707670001</t>
  </si>
  <si>
    <t>SITIH AMINA</t>
  </si>
  <si>
    <t>MUSA OWOPUKU</t>
  </si>
  <si>
    <t>9109030707920001</t>
  </si>
  <si>
    <t>YULIANUS OWOPUKU</t>
  </si>
  <si>
    <t>9109030708970002</t>
  </si>
  <si>
    <t>ARI WIBOWO OWOPUKU</t>
  </si>
  <si>
    <t>9109035005040001</t>
  </si>
  <si>
    <t>RINA OWOPUKU</t>
  </si>
  <si>
    <t>KADUN JAYA</t>
  </si>
  <si>
    <t>9109161907170020</t>
  </si>
  <si>
    <t>3172054305720004</t>
  </si>
  <si>
    <t>TASIAH</t>
  </si>
  <si>
    <t>INDRAMAYU</t>
  </si>
  <si>
    <t>9109032303110004</t>
  </si>
  <si>
    <t>9109030407880001</t>
  </si>
  <si>
    <t>ABDUL MUTHOLIP</t>
  </si>
  <si>
    <t>9109034701900001</t>
  </si>
  <si>
    <t>JUMRIANA</t>
  </si>
  <si>
    <t>9109034811000001</t>
  </si>
  <si>
    <t>NOVI WAHYUNI</t>
  </si>
  <si>
    <t>9109032507110001</t>
  </si>
  <si>
    <t>MUHAMMAD RADITYA PRATAMA</t>
  </si>
  <si>
    <t>9109031901110005</t>
  </si>
  <si>
    <t>9109030908690001</t>
  </si>
  <si>
    <t>TARUWI</t>
  </si>
  <si>
    <t>9109030103930001</t>
  </si>
  <si>
    <t>NUR SIAM TORO</t>
  </si>
  <si>
    <t>9109030604100001</t>
  </si>
  <si>
    <t>9109030603750001</t>
  </si>
  <si>
    <t>RAHMAD</t>
  </si>
  <si>
    <t>9109035005740001</t>
  </si>
  <si>
    <t>RISNAWATI</t>
  </si>
  <si>
    <t>BUTON</t>
  </si>
  <si>
    <t>9109034608990001</t>
  </si>
  <si>
    <t>SINTA VIVI ALVIANITA</t>
  </si>
  <si>
    <t>9109161805150003</t>
  </si>
  <si>
    <t>MUHAMMAD BINTANG PRAKASA</t>
  </si>
  <si>
    <t>9109161503190002</t>
  </si>
  <si>
    <t>9109035207920001</t>
  </si>
  <si>
    <t>RANI RAHAYU</t>
  </si>
  <si>
    <t>9109162702200001</t>
  </si>
  <si>
    <t>3524090403910005</t>
  </si>
  <si>
    <t>PIPIT RIZA ABIDIN</t>
  </si>
  <si>
    <t>3510054411900006</t>
  </si>
  <si>
    <t>SUSI</t>
  </si>
  <si>
    <t>9109163011200010</t>
  </si>
  <si>
    <t>9103024504850001</t>
  </si>
  <si>
    <t>RINA</t>
  </si>
  <si>
    <t>SALATIGA</t>
  </si>
  <si>
    <t>9109160403180004</t>
  </si>
  <si>
    <t>DANIEL DARMA KORWA</t>
  </si>
  <si>
    <t>9109162504180007</t>
  </si>
  <si>
    <t>9109035210780003</t>
  </si>
  <si>
    <t>INEM</t>
  </si>
  <si>
    <t>9109030707100006</t>
  </si>
  <si>
    <t>9109031906830001</t>
  </si>
  <si>
    <t>KASDURI</t>
  </si>
  <si>
    <t>9109161810190011</t>
  </si>
  <si>
    <t>9109030208720001</t>
  </si>
  <si>
    <t>KASTUR</t>
  </si>
  <si>
    <t>9109032005100010</t>
  </si>
  <si>
    <t>9109031610660001</t>
  </si>
  <si>
    <t>MANSUR SYAH</t>
  </si>
  <si>
    <t>9109034307670001</t>
  </si>
  <si>
    <t>PATI</t>
  </si>
  <si>
    <t>9109030105030001</t>
  </si>
  <si>
    <t>AHMAD MARZUQI</t>
  </si>
  <si>
    <t>9109030108120001</t>
  </si>
  <si>
    <t>9109035205720003</t>
  </si>
  <si>
    <t>MARIA SUMIATI</t>
  </si>
  <si>
    <t>KRISTEN</t>
  </si>
  <si>
    <t>9109167004080001</t>
  </si>
  <si>
    <t>ERMAWATI APRILIA PUTRI PALULUN</t>
  </si>
  <si>
    <t>9109163003190003</t>
  </si>
  <si>
    <t>9109160104630001</t>
  </si>
  <si>
    <t>KANDORI</t>
  </si>
  <si>
    <t>REMBANG</t>
  </si>
  <si>
    <t>9109032105100021</t>
  </si>
  <si>
    <t>9109030701650001</t>
  </si>
  <si>
    <t>H. MUSLIMIN</t>
  </si>
  <si>
    <t>9109035707780002</t>
  </si>
  <si>
    <t>HJ. NUR LAILA</t>
  </si>
  <si>
    <t>MAGGALUNG</t>
  </si>
  <si>
    <t>9109035212010001</t>
  </si>
  <si>
    <t>HANA ALFIANA</t>
  </si>
  <si>
    <t>9109162001210001</t>
  </si>
  <si>
    <t>HAUFAN ARSAKHA</t>
  </si>
  <si>
    <t>9109162001210003</t>
  </si>
  <si>
    <t>HAUFAL ARSYAD</t>
  </si>
  <si>
    <t>9109030604100008</t>
  </si>
  <si>
    <t>9109031511740001</t>
  </si>
  <si>
    <t>HARIANTO</t>
  </si>
  <si>
    <t>9109035010670001</t>
  </si>
  <si>
    <t>SULIKAH</t>
  </si>
  <si>
    <t>9109161112120001</t>
  </si>
  <si>
    <t>DENI ELLO</t>
  </si>
  <si>
    <t>9109162501210006</t>
  </si>
  <si>
    <t>9109035108840001</t>
  </si>
  <si>
    <t>HENI</t>
  </si>
  <si>
    <t>9109031310110002</t>
  </si>
  <si>
    <t>9109031502730002</t>
  </si>
  <si>
    <t>I MADE ARIBAWA</t>
  </si>
  <si>
    <t>WARNASARI</t>
  </si>
  <si>
    <t>HINDU</t>
  </si>
  <si>
    <t>9109034511790001</t>
  </si>
  <si>
    <t>PINI PANGESTU NINGSIH</t>
  </si>
  <si>
    <t>9109034403030001</t>
  </si>
  <si>
    <t>NI LUH AYU DIAN PERTIWI</t>
  </si>
  <si>
    <t>JEMBRANA</t>
  </si>
  <si>
    <t>9109031206080001</t>
  </si>
  <si>
    <t>I KADEK PANDE WIRA SUASTAWA</t>
  </si>
  <si>
    <t>9109164901090001</t>
  </si>
  <si>
    <t>NI LUH PUTU OLIVIA ANUGRAH PERTIWI</t>
  </si>
  <si>
    <t>9109036007110001</t>
  </si>
  <si>
    <t>NI KOMANG PRAMITA DEWI PERTIWI</t>
  </si>
  <si>
    <t>9109032005100001</t>
  </si>
  <si>
    <t>9109030303570001</t>
  </si>
  <si>
    <t>SUJONO</t>
  </si>
  <si>
    <t>9109037007560001</t>
  </si>
  <si>
    <t>JUARNI</t>
  </si>
  <si>
    <t>9109033007860001</t>
  </si>
  <si>
    <t>AMROJI</t>
  </si>
  <si>
    <t>9109035512590001</t>
  </si>
  <si>
    <t>JUARIYAH</t>
  </si>
  <si>
    <t>9109031701120001</t>
  </si>
  <si>
    <t>9109032810670001</t>
  </si>
  <si>
    <t>SUHARDI BAANG</t>
  </si>
  <si>
    <t>ENDREKANG</t>
  </si>
  <si>
    <t>9109010105120007</t>
  </si>
  <si>
    <t>9109010506740013</t>
  </si>
  <si>
    <t>SRI YANTO</t>
  </si>
  <si>
    <t>9109035909760001</t>
  </si>
  <si>
    <t>IMAR HANDAYANI</t>
  </si>
  <si>
    <t>DENPASAR</t>
  </si>
  <si>
    <t>9109034101010004</t>
  </si>
  <si>
    <t>FITRI MELINIA</t>
  </si>
  <si>
    <t>DENPASAR BALI</t>
  </si>
  <si>
    <t>9109030505040002</t>
  </si>
  <si>
    <t>M ADREAWAN</t>
  </si>
  <si>
    <t>9109165301160001</t>
  </si>
  <si>
    <t>ALESHA ZAHRA</t>
  </si>
  <si>
    <t>9109030507100007</t>
  </si>
  <si>
    <t>9109036412760001</t>
  </si>
  <si>
    <t>SRI REJEKI</t>
  </si>
  <si>
    <t>9109034505690001</t>
  </si>
  <si>
    <t>RUBIAH</t>
  </si>
  <si>
    <t>9109035008790001</t>
  </si>
  <si>
    <t>SRI ASTUTI</t>
  </si>
  <si>
    <t>9109035408810001</t>
  </si>
  <si>
    <t>ASWATI</t>
  </si>
  <si>
    <t>JEMBER</t>
  </si>
  <si>
    <t>9109034511900001</t>
  </si>
  <si>
    <t>RAHMAWATI</t>
  </si>
  <si>
    <t>KOTABESI</t>
  </si>
  <si>
    <t>9109031110920001</t>
  </si>
  <si>
    <t>LUKI TULO</t>
  </si>
  <si>
    <t>TUAL</t>
  </si>
  <si>
    <t>9109160102160002</t>
  </si>
  <si>
    <t>9109035507680001</t>
  </si>
  <si>
    <t>SRI MULYANI</t>
  </si>
  <si>
    <t>9109034205050002</t>
  </si>
  <si>
    <t>EXSA PUTRI RANI</t>
  </si>
  <si>
    <t>CUCU</t>
  </si>
  <si>
    <t>9109161604180001</t>
  </si>
  <si>
    <t>3578276003580002</t>
  </si>
  <si>
    <t>S SUGIHARTINI</t>
  </si>
  <si>
    <t>9109030909890001</t>
  </si>
  <si>
    <t>DEDE IRMANSYAH IBRAHIM</t>
  </si>
  <si>
    <t>9109031503030002</t>
  </si>
  <si>
    <t>MUHAMMAD FAISAL IRIANTO</t>
  </si>
  <si>
    <t>9109163003190005</t>
  </si>
  <si>
    <t>9109160505660001</t>
  </si>
  <si>
    <t>WIYONO</t>
  </si>
  <si>
    <t>PEKAN BARU</t>
  </si>
  <si>
    <t>BURUH HARIAN LEPAS</t>
  </si>
  <si>
    <t>9109032105100011</t>
  </si>
  <si>
    <t>9109030909750001</t>
  </si>
  <si>
    <t>SYAMSUDDIN</t>
  </si>
  <si>
    <t>BODDIE</t>
  </si>
  <si>
    <t>9109036001830001</t>
  </si>
  <si>
    <t>TRY SANTI H TB</t>
  </si>
  <si>
    <t>9109031602050001</t>
  </si>
  <si>
    <t>MUHAMMAD AKBAR SYAM</t>
  </si>
  <si>
    <t>9109032303120001</t>
  </si>
  <si>
    <t>MUHAMMAD AKMAL SYAM</t>
  </si>
  <si>
    <t>9109161509180001</t>
  </si>
  <si>
    <t>MUHAMMAD AZKA SYAM</t>
  </si>
  <si>
    <t>9109032011170001</t>
  </si>
  <si>
    <t>9109032206870002</t>
  </si>
  <si>
    <t>SOPYAN</t>
  </si>
  <si>
    <t>7316066103960001</t>
  </si>
  <si>
    <t>SOFIAH</t>
  </si>
  <si>
    <t>MALAYSIA</t>
  </si>
  <si>
    <t>9109034804170002</t>
  </si>
  <si>
    <t>ARSYLA AZZAHRA</t>
  </si>
  <si>
    <t>9109031109180001</t>
  </si>
  <si>
    <t>ALFARIZKI ATTHARAZKA</t>
  </si>
  <si>
    <t>9109031912110002</t>
  </si>
  <si>
    <t>9109031112740001</t>
  </si>
  <si>
    <t>MAS'UDI</t>
  </si>
  <si>
    <t>9109035405820001</t>
  </si>
  <si>
    <t>VIVIN MAINIWATI</t>
  </si>
  <si>
    <t>9109030202000001</t>
  </si>
  <si>
    <t>AHMAD DAHWAN WAHYUDI</t>
  </si>
  <si>
    <t>9109031105050002</t>
  </si>
  <si>
    <t>AHMAD RISKI IRVANDI</t>
  </si>
  <si>
    <t>9109034306080003</t>
  </si>
  <si>
    <t>MIFTAHUL KHOLIFA</t>
  </si>
  <si>
    <t>9109035606880002</t>
  </si>
  <si>
    <t>DENIS RATNA WATI PURNAMA SARI</t>
  </si>
  <si>
    <t>9109032708100012</t>
  </si>
  <si>
    <t>9109030107690003</t>
  </si>
  <si>
    <t>KASUWI</t>
  </si>
  <si>
    <t>9109034906710001</t>
  </si>
  <si>
    <t>MUNINGRUM</t>
  </si>
  <si>
    <t>9109030301930002</t>
  </si>
  <si>
    <t>IRFAN ZAENURI</t>
  </si>
  <si>
    <t>9109031309970002</t>
  </si>
  <si>
    <t>SEPTIAN WIRA ANDHIKA</t>
  </si>
  <si>
    <t>9109035305030001</t>
  </si>
  <si>
    <t>ISMA ULIDHA VIRA LUSITA</t>
  </si>
  <si>
    <t>9109031407100003</t>
  </si>
  <si>
    <t>9109035110770001</t>
  </si>
  <si>
    <t>KASPIATUN</t>
  </si>
  <si>
    <t>9109034305100001</t>
  </si>
  <si>
    <t>AMELIA RISKYATUN</t>
  </si>
  <si>
    <t>9109032107140001</t>
  </si>
  <si>
    <t>PUTRA PRATAMA ROMADHON SONGBES</t>
  </si>
  <si>
    <t>7310091205070082</t>
  </si>
  <si>
    <t>7310091707820001</t>
  </si>
  <si>
    <t>NURDING MULE</t>
  </si>
  <si>
    <t>NELAYAN</t>
  </si>
  <si>
    <t>7310097012830001</t>
  </si>
  <si>
    <t>NURMIA</t>
  </si>
  <si>
    <t>7310095206010001</t>
  </si>
  <si>
    <t>NITA</t>
  </si>
  <si>
    <t>7310097012070001</t>
  </si>
  <si>
    <t>AYU</t>
  </si>
  <si>
    <t>7310092507110001</t>
  </si>
  <si>
    <t>MUHAMMAD NASIR</t>
  </si>
  <si>
    <t>3578150101086814</t>
  </si>
  <si>
    <t>3578150101740003</t>
  </si>
  <si>
    <t>RONY KUNTO ASMORO</t>
  </si>
  <si>
    <t>3578156706780004</t>
  </si>
  <si>
    <t>WINARTI</t>
  </si>
  <si>
    <t>3578151003100001</t>
  </si>
  <si>
    <t>JERICCO ARVIAN SYAHPUTRA</t>
  </si>
  <si>
    <t>3510030902160004</t>
  </si>
  <si>
    <t>1207260502820006</t>
  </si>
  <si>
    <t>RICKY YUDHA PRAWIRA</t>
  </si>
  <si>
    <t>MEDAN</t>
  </si>
  <si>
    <t>3510036505770006</t>
  </si>
  <si>
    <t>3510035104960004</t>
  </si>
  <si>
    <t xml:space="preserve">EVI NOVITA </t>
  </si>
  <si>
    <t>3510035005020001</t>
  </si>
  <si>
    <t>ICA RIZKIANA</t>
  </si>
  <si>
    <t>3510031805180002</t>
  </si>
  <si>
    <t>ARSYA YUDHA RAMADHAN</t>
  </si>
  <si>
    <t>9109160804210006</t>
  </si>
  <si>
    <t>9109035005800005</t>
  </si>
  <si>
    <t>NURLIA</t>
  </si>
  <si>
    <t>MAKASSAR</t>
  </si>
  <si>
    <t>9109031912120001</t>
  </si>
  <si>
    <t>9109035508770004</t>
  </si>
  <si>
    <t>DEWI SINTA</t>
  </si>
  <si>
    <t>9109035505060003</t>
  </si>
  <si>
    <t>FETI DILA ANJELI</t>
  </si>
  <si>
    <t>3314061107170007</t>
  </si>
  <si>
    <t>9109010704870015</t>
  </si>
  <si>
    <t>AGUS TRI WAHONO</t>
  </si>
  <si>
    <t>LANGGUR</t>
  </si>
  <si>
    <t>3314064304890005</t>
  </si>
  <si>
    <t>DEWI RATNA SARI</t>
  </si>
  <si>
    <t>3314064212050004</t>
  </si>
  <si>
    <t>EKSA PUTRI KURNIASARI</t>
  </si>
  <si>
    <t>3314066210140002</t>
  </si>
  <si>
    <t>NAJWA PUTRI ADE WAHONO</t>
  </si>
  <si>
    <t>3509022908057945</t>
  </si>
  <si>
    <t>3509022812760002</t>
  </si>
  <si>
    <t>EFENDI SUSANTO</t>
  </si>
  <si>
    <t>3509024107800008</t>
  </si>
  <si>
    <t xml:space="preserve">ELISA </t>
  </si>
  <si>
    <t>3509024609990002</t>
  </si>
  <si>
    <t>FRISKA ANGGREANI</t>
  </si>
  <si>
    <t>3509020401030004</t>
  </si>
  <si>
    <t>DIMAS FERDIANSYAH</t>
  </si>
  <si>
    <t>3509022407140001</t>
  </si>
  <si>
    <t>FAREL FARDIANSYAH</t>
  </si>
  <si>
    <t>7304092009120002</t>
  </si>
  <si>
    <t>7304091505910003</t>
  </si>
  <si>
    <t>SAHIRUDDIN</t>
  </si>
  <si>
    <t>BANTAENG</t>
  </si>
  <si>
    <t>7304096307920002</t>
  </si>
  <si>
    <t>KARMILA</t>
  </si>
  <si>
    <t>MONROLOE</t>
  </si>
  <si>
    <t>7304092804120001</t>
  </si>
  <si>
    <t>ZYABILAL</t>
  </si>
  <si>
    <t>PATTENE</t>
  </si>
  <si>
    <t>7304095111170001</t>
  </si>
  <si>
    <t>SYALSABILA</t>
  </si>
  <si>
    <t>9109161703200011</t>
  </si>
  <si>
    <t>9109160807630001</t>
  </si>
  <si>
    <t>SLAMET RIYADI</t>
  </si>
  <si>
    <t>LAKI - LAKI</t>
  </si>
  <si>
    <t>BONDOWOSO</t>
  </si>
  <si>
    <t>RT 02</t>
  </si>
  <si>
    <t>9109165204580001</t>
  </si>
  <si>
    <t>ARNIDJA</t>
  </si>
  <si>
    <t>9109164703000001</t>
  </si>
  <si>
    <t>SITI SHINTA AISSA</t>
  </si>
  <si>
    <t>9109162408220006</t>
  </si>
  <si>
    <t>9109100102990001</t>
  </si>
  <si>
    <t>YAKIMUS TINI</t>
  </si>
  <si>
    <t>JITA</t>
  </si>
  <si>
    <t>9109161111190007</t>
  </si>
  <si>
    <t>9109032009660001</t>
  </si>
  <si>
    <t>USMAN</t>
  </si>
  <si>
    <t>SUPIR</t>
  </si>
  <si>
    <t>9109036912670001</t>
  </si>
  <si>
    <t>NUR AENI</t>
  </si>
  <si>
    <t>9109030705040001</t>
  </si>
  <si>
    <t>AJHID USMAN</t>
  </si>
  <si>
    <t>9109030605090001</t>
  </si>
  <si>
    <t>RAKMAD</t>
  </si>
  <si>
    <t>9404160410230001</t>
  </si>
  <si>
    <t>9109011402900006</t>
  </si>
  <si>
    <t>FLAVIANUS ELLU</t>
  </si>
  <si>
    <t>SA'TAB</t>
  </si>
  <si>
    <t>8103034511890001</t>
  </si>
  <si>
    <t>WELHELMINA REFWALU</t>
  </si>
  <si>
    <t>SANGLIAT DOL</t>
  </si>
  <si>
    <t>9404160812120001</t>
  </si>
  <si>
    <t>YOSEPH TITAN ELU</t>
  </si>
  <si>
    <t>9109162710210001</t>
  </si>
  <si>
    <t>9102010912820004</t>
  </si>
  <si>
    <t>ANGKUTLAK BUGIANGGE</t>
  </si>
  <si>
    <t>YEPMA</t>
  </si>
  <si>
    <t>9109034107830002</t>
  </si>
  <si>
    <t>RUMBINA UBURUANGGE</t>
  </si>
  <si>
    <t>DAWI</t>
  </si>
  <si>
    <t>9109031212040002</t>
  </si>
  <si>
    <t>SAMIANUS BUGIANGGE</t>
  </si>
  <si>
    <t>9109164108130001</t>
  </si>
  <si>
    <t>KESIA BUGIANGGE</t>
  </si>
  <si>
    <t>9109162503210002</t>
  </si>
  <si>
    <t>9109035607920001</t>
  </si>
  <si>
    <t>NONCE NIRIGI</t>
  </si>
  <si>
    <t>9109164107110002</t>
  </si>
  <si>
    <t>JOHANA MUTAWEYAU</t>
  </si>
  <si>
    <t>9109166206160001</t>
  </si>
  <si>
    <t>PASKALINA MUTAWEYAU</t>
  </si>
  <si>
    <t>9109161010200001</t>
  </si>
  <si>
    <t>DAUD JURDALEX BEON</t>
  </si>
  <si>
    <t>9109032806100001</t>
  </si>
  <si>
    <t>9109030210740001</t>
  </si>
  <si>
    <t>BARNABAS REFWALU</t>
  </si>
  <si>
    <t>AMOASA</t>
  </si>
  <si>
    <t>9109035201750002</t>
  </si>
  <si>
    <t>ELISABETH RENYAAN</t>
  </si>
  <si>
    <t>DAHAR</t>
  </si>
  <si>
    <t>9109031611090001</t>
  </si>
  <si>
    <t>YULIUS GLEN REFWALU</t>
  </si>
  <si>
    <t>LERE</t>
  </si>
  <si>
    <t>9171011212840002</t>
  </si>
  <si>
    <t>RONAL SAWOR</t>
  </si>
  <si>
    <t>9109162108180003</t>
  </si>
  <si>
    <t>8171021101910010</t>
  </si>
  <si>
    <t>SAFIR RISAHONDUA</t>
  </si>
  <si>
    <t>9109162310120002</t>
  </si>
  <si>
    <t>RAFLY ZAQY RISAHONDUA YAWA</t>
  </si>
  <si>
    <t>9109160803140001</t>
  </si>
  <si>
    <t>HAMDANY AHMAD RISAHONDUA YAWA</t>
  </si>
  <si>
    <t>9109035701950001</t>
  </si>
  <si>
    <t>VALERINDO CIIMANTEM YAWA</t>
  </si>
  <si>
    <t>POMAKO</t>
  </si>
  <si>
    <t>9109033107100015</t>
  </si>
  <si>
    <t>9109031006760001</t>
  </si>
  <si>
    <t>NATAN DIMIYE</t>
  </si>
  <si>
    <t>KENYAM</t>
  </si>
  <si>
    <t>BURUH TANI</t>
  </si>
  <si>
    <t>9109030608900002</t>
  </si>
  <si>
    <t>CARLES GUJANGGE</t>
  </si>
  <si>
    <t>9109030104960001</t>
  </si>
  <si>
    <t>YASMIN DIMIYE</t>
  </si>
  <si>
    <t>9109030101970001</t>
  </si>
  <si>
    <t>JIM DIMIYE</t>
  </si>
  <si>
    <t>9109030205000001</t>
  </si>
  <si>
    <t>OSKAR DIMIYE</t>
  </si>
  <si>
    <t>9109034303040001</t>
  </si>
  <si>
    <t>DELIMA DIMIYE</t>
  </si>
  <si>
    <t>9109031406060001</t>
  </si>
  <si>
    <t>JONAS DIMIYE</t>
  </si>
  <si>
    <t>9109031406060002</t>
  </si>
  <si>
    <t xml:space="preserve">YAHANIS DIMIYE </t>
  </si>
  <si>
    <t>9109033107100041</t>
  </si>
  <si>
    <t>9109031203640001</t>
  </si>
  <si>
    <t>DAUD NIRIGI</t>
  </si>
  <si>
    <t>SUNGGULI</t>
  </si>
  <si>
    <t>9109035901750001</t>
  </si>
  <si>
    <t>HERRY NIRIGI</t>
  </si>
  <si>
    <t>AGIMUGA</t>
  </si>
  <si>
    <t>9109035212990001</t>
  </si>
  <si>
    <t>MEA NIRIGI</t>
  </si>
  <si>
    <t>9109031212990001</t>
  </si>
  <si>
    <t>ELVINSEN NERIGI</t>
  </si>
  <si>
    <t>9109035502000001</t>
  </si>
  <si>
    <t>OLINCE NERIGI</t>
  </si>
  <si>
    <t>9109032204070001</t>
  </si>
  <si>
    <t>STEVEN NERIGI</t>
  </si>
  <si>
    <t>9109051802190001</t>
  </si>
  <si>
    <t>9109051211890001</t>
  </si>
  <si>
    <t>SIMSON GUJANGGE</t>
  </si>
  <si>
    <t>NOEMA</t>
  </si>
  <si>
    <t>9109035103920002</t>
  </si>
  <si>
    <t>MARIKE SEMARTI PRAWIA AMBOWAIN</t>
  </si>
  <si>
    <t>FAK - FAK</t>
  </si>
  <si>
    <t>9109164802130002</t>
  </si>
  <si>
    <t>VIONA SYELLA GUJANGGE</t>
  </si>
  <si>
    <t>9109161011210003</t>
  </si>
  <si>
    <t>9109161702760001</t>
  </si>
  <si>
    <t>JANCE GWIJANGGE</t>
  </si>
  <si>
    <t>PENDETA</t>
  </si>
  <si>
    <t>9124080107410011</t>
  </si>
  <si>
    <t>PANUEL KEREBEA</t>
  </si>
  <si>
    <t>GEAREK</t>
  </si>
  <si>
    <t>9109161602160003</t>
  </si>
  <si>
    <t>ERSON GWIJANGGE</t>
  </si>
  <si>
    <t>9124084809180001</t>
  </si>
  <si>
    <t>WERUS TINA MURIB</t>
  </si>
  <si>
    <t>KORA</t>
  </si>
  <si>
    <t>9109164809180001</t>
  </si>
  <si>
    <t>WURUSINA GWIJANGGE</t>
  </si>
  <si>
    <t>9109052506100035</t>
  </si>
  <si>
    <t>9109050505800001</t>
  </si>
  <si>
    <t>ELIUS GWIJANGGE</t>
  </si>
  <si>
    <t>9109054502860001</t>
  </si>
  <si>
    <t>YOAKOMINA NIRIGI</t>
  </si>
  <si>
    <t>9109054903070001</t>
  </si>
  <si>
    <t>IRENE GWIJANGGE</t>
  </si>
  <si>
    <t>9109050804080001</t>
  </si>
  <si>
    <t>NOEN GWIJANGGE</t>
  </si>
  <si>
    <t>9109054506140001</t>
  </si>
  <si>
    <t>TERIFONA GWIJANGGE</t>
  </si>
  <si>
    <t>9109050208980001</t>
  </si>
  <si>
    <t>BARTOL GUJANGGE</t>
  </si>
  <si>
    <t>9109033107100037</t>
  </si>
  <si>
    <t>9109034508660001</t>
  </si>
  <si>
    <t>AMALIA YAWA</t>
  </si>
  <si>
    <t>9109036905980001</t>
  </si>
  <si>
    <t>ROSALINA KLARA AMBOWAIN</t>
  </si>
  <si>
    <t>MERAUKE</t>
  </si>
  <si>
    <t>9109034402090002</t>
  </si>
  <si>
    <t xml:space="preserve">ANANCE OLIFIA YAWA </t>
  </si>
  <si>
    <t>9109033107100042</t>
  </si>
  <si>
    <t>9109031504830001</t>
  </si>
  <si>
    <t>SAULUS POKNIANGGE</t>
  </si>
  <si>
    <t>9109034602840003</t>
  </si>
  <si>
    <t>DORKAS GUJANGGE</t>
  </si>
  <si>
    <t>9109035202080002</t>
  </si>
  <si>
    <t>VALENTINE KISILINA POKNIANGGE</t>
  </si>
  <si>
    <t>9109034611080001</t>
  </si>
  <si>
    <t>NOVELA CHRISANTA POKNIANGGE</t>
  </si>
  <si>
    <t>9109034611080002</t>
  </si>
  <si>
    <t>NOVITA GRACELA POKNIANGGE</t>
  </si>
  <si>
    <t>9109036005120001</t>
  </si>
  <si>
    <t>SEPRIANA YOLANDA POKNIANGGE</t>
  </si>
  <si>
    <t>9109160204160004</t>
  </si>
  <si>
    <t>IMANUEL JIPLENGEN POKNIANGGE</t>
  </si>
  <si>
    <t>9109030604950001</t>
  </si>
  <si>
    <t>YOSIAS POKNIYANGGE</t>
  </si>
  <si>
    <t>9109161005010001</t>
  </si>
  <si>
    <t>DOMINGGUS POKNIANGGE</t>
  </si>
  <si>
    <t>UWAREM</t>
  </si>
  <si>
    <t>9109033107100021</t>
  </si>
  <si>
    <t>9109030510720001</t>
  </si>
  <si>
    <t>KASPAR YAWA</t>
  </si>
  <si>
    <t>9109035106740001</t>
  </si>
  <si>
    <t>HELENA WATEYAU</t>
  </si>
  <si>
    <t>KOKONAO</t>
  </si>
  <si>
    <t>9109035511970001</t>
  </si>
  <si>
    <t>LUSIA YAWA</t>
  </si>
  <si>
    <t>9109035105050001</t>
  </si>
  <si>
    <t>PAOLA YAWA</t>
  </si>
  <si>
    <t>9109032909100002</t>
  </si>
  <si>
    <t>YOSEP YAWA</t>
  </si>
  <si>
    <t>9109162005170001</t>
  </si>
  <si>
    <t>ANTON YAWA</t>
  </si>
  <si>
    <t>9109160902210001</t>
  </si>
  <si>
    <t>KASMIRUS YAWA</t>
  </si>
  <si>
    <t>9109033107100033</t>
  </si>
  <si>
    <t>9109030505600002</t>
  </si>
  <si>
    <t>DANIEL POKNEANGGE</t>
  </si>
  <si>
    <t>DUGUSO</t>
  </si>
  <si>
    <t>9109034107690001</t>
  </si>
  <si>
    <t>FRSNSINA LOKBERE</t>
  </si>
  <si>
    <t>GESELEMA</t>
  </si>
  <si>
    <t>9109034808820004</t>
  </si>
  <si>
    <t>YAKONA POKNEANGGE</t>
  </si>
  <si>
    <t>SOROAMA</t>
  </si>
  <si>
    <t>9109032404840002</t>
  </si>
  <si>
    <t>ESPREM NAIM FRENGKY POKNEANGGE</t>
  </si>
  <si>
    <t>MAPNDUMA</t>
  </si>
  <si>
    <t>9109031801870002</t>
  </si>
  <si>
    <t>BATELINUS POKNEANGGE</t>
  </si>
  <si>
    <t>9109036802900001</t>
  </si>
  <si>
    <t>BARTELINA POKNEANGGE</t>
  </si>
  <si>
    <t>9109034202920004</t>
  </si>
  <si>
    <t>ROSALINA POKNEANGGE</t>
  </si>
  <si>
    <t>9109032909940001</t>
  </si>
  <si>
    <t>ISKANUS POKNEANGGE</t>
  </si>
  <si>
    <t>9109035512990002</t>
  </si>
  <si>
    <t>DESIMINA POKNEANGGE</t>
  </si>
  <si>
    <t>9109035802030001</t>
  </si>
  <si>
    <t>MEYA FRANSISKA POKNEANGGE</t>
  </si>
  <si>
    <t>9109161509160009</t>
  </si>
  <si>
    <t>9109010202890004</t>
  </si>
  <si>
    <t>CLEMENS F. E. MUTAWEYAU</t>
  </si>
  <si>
    <t>MANOKWARI</t>
  </si>
  <si>
    <t>9109011302120029</t>
  </si>
  <si>
    <t>9109011405700003</t>
  </si>
  <si>
    <t>MELKIANUS ARONGGEAR</t>
  </si>
  <si>
    <t>SORONG</t>
  </si>
  <si>
    <t>9109017103740007</t>
  </si>
  <si>
    <t>YOHANA WAYEGA</t>
  </si>
  <si>
    <t>9109015802050006</t>
  </si>
  <si>
    <t>YATY P ARONGGEAR</t>
  </si>
  <si>
    <t>9109011502090011</t>
  </si>
  <si>
    <t>REINHART S ARONGGEAR</t>
  </si>
  <si>
    <t>9109012601110006</t>
  </si>
  <si>
    <t>MEDLIN ARONGGEAR</t>
  </si>
  <si>
    <t>9109012101960003</t>
  </si>
  <si>
    <t>ALBERTO WAITA</t>
  </si>
  <si>
    <t>9109031105150001</t>
  </si>
  <si>
    <t>9109032404880001</t>
  </si>
  <si>
    <t>APIT WANDIKBO</t>
  </si>
  <si>
    <t>9109015304910001</t>
  </si>
  <si>
    <t>LORETA WANDIK</t>
  </si>
  <si>
    <t>MAPDUMA</t>
  </si>
  <si>
    <t>9109162002190019</t>
  </si>
  <si>
    <t>9109160111980002</t>
  </si>
  <si>
    <t>JUPEN NIRIGI</t>
  </si>
  <si>
    <t>9109036405940001</t>
  </si>
  <si>
    <t>VICTORIA YAWA</t>
  </si>
  <si>
    <t>9109161301160003</t>
  </si>
  <si>
    <t>JUANDA FABRIAN NIRIGI</t>
  </si>
  <si>
    <t>9109166706170003</t>
  </si>
  <si>
    <t>JUIFIA NIRIGI</t>
  </si>
  <si>
    <t>9109162307150003</t>
  </si>
  <si>
    <t>9109013011810008</t>
  </si>
  <si>
    <t>HAERUDDIN</t>
  </si>
  <si>
    <t>9109036608850001</t>
  </si>
  <si>
    <t>IRMAWATI USMAN</t>
  </si>
  <si>
    <t>9109162806090001</t>
  </si>
  <si>
    <t>MUHAMMAD SYAID</t>
  </si>
  <si>
    <t>9109166802160001</t>
  </si>
  <si>
    <t>AVIFA NAHDA RAFANDA</t>
  </si>
  <si>
    <t>9109053103160002</t>
  </si>
  <si>
    <t>9109050711850001</t>
  </si>
  <si>
    <t>RENES NATKIME</t>
  </si>
  <si>
    <t>9109054804920001</t>
  </si>
  <si>
    <t>YULINCE LOKBERE</t>
  </si>
  <si>
    <t>9109052606150001</t>
  </si>
  <si>
    <t>MAIKEL NATKIME</t>
  </si>
  <si>
    <t>9109160701220005</t>
  </si>
  <si>
    <t>8103030411680001</t>
  </si>
  <si>
    <t>YOSEP REFWALU</t>
  </si>
  <si>
    <t>8103032104010002</t>
  </si>
  <si>
    <t>THOMAS REFWALU</t>
  </si>
  <si>
    <t>SAUMLAKI</t>
  </si>
  <si>
    <t>9109162402210009</t>
  </si>
  <si>
    <t>9109161503750001</t>
  </si>
  <si>
    <t>WALTERUS OHOIWIRIN</t>
  </si>
  <si>
    <t>WAUR</t>
  </si>
  <si>
    <t>9109032906100004</t>
  </si>
  <si>
    <t>9109030609680001</t>
  </si>
  <si>
    <t>MELKIAS TINI</t>
  </si>
  <si>
    <t>9109036007700001</t>
  </si>
  <si>
    <t>MATTE LOKBRE</t>
  </si>
  <si>
    <t>9109162704050001</t>
  </si>
  <si>
    <t>ELIA TINI</t>
  </si>
  <si>
    <t>9109166801060001</t>
  </si>
  <si>
    <t>IRMAH GWIJIANGGE</t>
  </si>
  <si>
    <t>9109161401080001</t>
  </si>
  <si>
    <t>IRFAN GWIJANGGE</t>
  </si>
  <si>
    <t>9109032606100010</t>
  </si>
  <si>
    <t>9109032406510001</t>
  </si>
  <si>
    <t>JAN MELANGGEN</t>
  </si>
  <si>
    <t>MAPENDUMA</t>
  </si>
  <si>
    <t>RT 03</t>
  </si>
  <si>
    <t>9109034703700001</t>
  </si>
  <si>
    <t>ANNA TASYA</t>
  </si>
  <si>
    <t>9109032302990001</t>
  </si>
  <si>
    <t>RINCED MELANGGEN</t>
  </si>
  <si>
    <t>9109032802020001</t>
  </si>
  <si>
    <t>RUDI MELANGGEN</t>
  </si>
  <si>
    <t>9109034103070002</t>
  </si>
  <si>
    <t>REVOLINA MELANGGEN</t>
  </si>
  <si>
    <t>9109036512080001</t>
  </si>
  <si>
    <t>DERITA MELANGGEN</t>
  </si>
  <si>
    <t>9109162402120001</t>
  </si>
  <si>
    <t>EXPEDISI MELANGEN</t>
  </si>
  <si>
    <t>9109164808130001</t>
  </si>
  <si>
    <t>AGUSTINA MELANGEN</t>
  </si>
  <si>
    <t>9109032606100011</t>
  </si>
  <si>
    <t>9109032707750001</t>
  </si>
  <si>
    <t>ABNIEL NIRIGI</t>
  </si>
  <si>
    <t>9109034106770001</t>
  </si>
  <si>
    <t>OKTAPINA GWIJANGGE</t>
  </si>
  <si>
    <t>9109060207750001</t>
  </si>
  <si>
    <t>PINUS NIRIGI</t>
  </si>
  <si>
    <t>9109035508980001</t>
  </si>
  <si>
    <t>ESTI NIRIGI</t>
  </si>
  <si>
    <t>9109032101010001</t>
  </si>
  <si>
    <t>GATNI NIRIGI</t>
  </si>
  <si>
    <t>9109032011020001</t>
  </si>
  <si>
    <t>FREDI NIRIGI</t>
  </si>
  <si>
    <t>9109036611120001</t>
  </si>
  <si>
    <t>KRISNA NIRIGI</t>
  </si>
  <si>
    <t>9109032606100009</t>
  </si>
  <si>
    <t>9109031809840001</t>
  </si>
  <si>
    <t>ULARI WANDIKBO</t>
  </si>
  <si>
    <t>WANDUK</t>
  </si>
  <si>
    <t>9109034602880001</t>
  </si>
  <si>
    <t>ANUS WANDIKBO</t>
  </si>
  <si>
    <t>9109033006100003</t>
  </si>
  <si>
    <t>9109030602760001</t>
  </si>
  <si>
    <t>AMAN LOKBERE</t>
  </si>
  <si>
    <t>9109036808850001</t>
  </si>
  <si>
    <t>BUTALI NIRIGI</t>
  </si>
  <si>
    <t>9109034309050002</t>
  </si>
  <si>
    <t>SANDIRO LOKBERE</t>
  </si>
  <si>
    <t>9109161010060003</t>
  </si>
  <si>
    <t>ASUR LOKBERE</t>
  </si>
  <si>
    <t>9109161104190010</t>
  </si>
  <si>
    <t>9109160606880001</t>
  </si>
  <si>
    <t>YEKOBOK NIRIGI</t>
  </si>
  <si>
    <t>9109164605890001</t>
  </si>
  <si>
    <t>MELINA MURIB</t>
  </si>
  <si>
    <t>9109032606100023</t>
  </si>
  <si>
    <t>9109031507790002</t>
  </si>
  <si>
    <t>PENIAS NIRIGI</t>
  </si>
  <si>
    <t>9109035208680001</t>
  </si>
  <si>
    <t>YULINA LOKMERE</t>
  </si>
  <si>
    <t>9109031212000002</t>
  </si>
  <si>
    <t>SAKAPIAN NIRIGI</t>
  </si>
  <si>
    <t>9109034811040001</t>
  </si>
  <si>
    <t>WIWIN NIRIGI</t>
  </si>
  <si>
    <t>9109030206060001</t>
  </si>
  <si>
    <t>SAMUEL NIRIGI</t>
  </si>
  <si>
    <t>9109034301110001</t>
  </si>
  <si>
    <t>SPIRIANI NIRIGI</t>
  </si>
  <si>
    <t>9109032606100015</t>
  </si>
  <si>
    <t>9109036405720001</t>
  </si>
  <si>
    <t>KRISTINA NIRIGI</t>
  </si>
  <si>
    <t>SORAMA</t>
  </si>
  <si>
    <t>9109030502920003</t>
  </si>
  <si>
    <t>BASIS MELANGGEN</t>
  </si>
  <si>
    <t>KIUNGGA</t>
  </si>
  <si>
    <t>9109035305920001</t>
  </si>
  <si>
    <t>SUSAN MELANGEN</t>
  </si>
  <si>
    <t>9109160908010001</t>
  </si>
  <si>
    <t>ENGGAMLAK MELANGEN</t>
  </si>
  <si>
    <t>9109161606120001</t>
  </si>
  <si>
    <t>YANUARIUS MELANGEN</t>
  </si>
  <si>
    <t>9109162512130001</t>
  </si>
  <si>
    <t>FANUEL MESY MELANGEN</t>
  </si>
  <si>
    <t>9109032402140003</t>
  </si>
  <si>
    <t>9109032104930002</t>
  </si>
  <si>
    <t>POLCE NIRIGI</t>
  </si>
  <si>
    <t>9109034408960001</t>
  </si>
  <si>
    <t>WELINCE LOKMBERE</t>
  </si>
  <si>
    <t>9109162412960001</t>
  </si>
  <si>
    <t>MARKUS NIRIGI</t>
  </si>
  <si>
    <t>9109164908100001</t>
  </si>
  <si>
    <t>ANNA NIRIGI</t>
  </si>
  <si>
    <t>9109162112130002</t>
  </si>
  <si>
    <t>PAULUS NIRIGI</t>
  </si>
  <si>
    <t>9109164702150002</t>
  </si>
  <si>
    <t>YOHANA NIRIGI</t>
  </si>
  <si>
    <t>9109166306170001</t>
  </si>
  <si>
    <t>MARIANTI NIRIGI</t>
  </si>
  <si>
    <t>9109161907190003</t>
  </si>
  <si>
    <t>RASUL NIRIGI</t>
  </si>
  <si>
    <t>9104164407230001</t>
  </si>
  <si>
    <t>MARIA NIRIGI</t>
  </si>
  <si>
    <t>9109030502130004</t>
  </si>
  <si>
    <t>9109031709830002</t>
  </si>
  <si>
    <t>IDIN NIRIGI</t>
  </si>
  <si>
    <t>9109034205980001</t>
  </si>
  <si>
    <t>NISKA LOKBERE</t>
  </si>
  <si>
    <t>9109037001150001</t>
  </si>
  <si>
    <t>JINA NIRIGI</t>
  </si>
  <si>
    <t>9109162412160003</t>
  </si>
  <si>
    <t>PRITALIS PEGU NIRIGI</t>
  </si>
  <si>
    <t>9109166601200001</t>
  </si>
  <si>
    <t>VIA LISA NIRIGI</t>
  </si>
  <si>
    <t>9109032205130002</t>
  </si>
  <si>
    <t>9109030802920001</t>
  </si>
  <si>
    <t>YOSEP NIRIGI</t>
  </si>
  <si>
    <t>9109034604880002</t>
  </si>
  <si>
    <t>PENNA MELANGEN</t>
  </si>
  <si>
    <t>WANDUD</t>
  </si>
  <si>
    <t>9109030405100010</t>
  </si>
  <si>
    <t>9109030505830002</t>
  </si>
  <si>
    <t>JULIUS WANDIKBO</t>
  </si>
  <si>
    <t>WUAREM</t>
  </si>
  <si>
    <t>9109100712900002</t>
  </si>
  <si>
    <t>ELINA MURIB</t>
  </si>
  <si>
    <t>SUGAPA</t>
  </si>
  <si>
    <t>9109035106670001</t>
  </si>
  <si>
    <t>EMELA WANDIKBO</t>
  </si>
  <si>
    <t>9109031310000001</t>
  </si>
  <si>
    <t>NANDO WANDIKBO</t>
  </si>
  <si>
    <t>9109035605070001</t>
  </si>
  <si>
    <t>DELI WANDIKBO</t>
  </si>
  <si>
    <t>9109034609100001</t>
  </si>
  <si>
    <t>YOSEN WANDIKBO</t>
  </si>
  <si>
    <t>9109162508170003</t>
  </si>
  <si>
    <t>JAMBRISON WANDIKBO</t>
  </si>
  <si>
    <t>9109160407220006</t>
  </si>
  <si>
    <t>9124077103940001</t>
  </si>
  <si>
    <t>NIMPA GWIJANGGE</t>
  </si>
  <si>
    <t>9109164303160006</t>
  </si>
  <si>
    <t>APRILIA WANDIKBO</t>
  </si>
  <si>
    <t>9109166608170002</t>
  </si>
  <si>
    <t>AYUNIKA WANDIKBO</t>
  </si>
  <si>
    <t>9109160905220008</t>
  </si>
  <si>
    <t>9109035303860001</t>
  </si>
  <si>
    <t>BETTY LOKMBRE</t>
  </si>
  <si>
    <t>9109032111050001</t>
  </si>
  <si>
    <t>YOSUA NIRIGI</t>
  </si>
  <si>
    <t>9109032408080001</t>
  </si>
  <si>
    <t>ARIF THEO ALBERTHO NIRIGI</t>
  </si>
  <si>
    <t>9109165512110002</t>
  </si>
  <si>
    <t>NOVA MELINDA NIRIGI</t>
  </si>
  <si>
    <t>KIS NIRIGI</t>
  </si>
  <si>
    <t>SPURIANI NIRIGI</t>
  </si>
  <si>
    <t>9109181706170001</t>
  </si>
  <si>
    <t>9109184812840001</t>
  </si>
  <si>
    <t>EPINA NIRIGI</t>
  </si>
  <si>
    <t>9109180508930001</t>
  </si>
  <si>
    <t>ES LOKBERE</t>
  </si>
  <si>
    <t>NOLIT</t>
  </si>
  <si>
    <t>9109180706960001</t>
  </si>
  <si>
    <t>MANEMAS GWIJANGGE</t>
  </si>
  <si>
    <t>WAREM</t>
  </si>
  <si>
    <t>9109184211030001</t>
  </si>
  <si>
    <t>MANSINA LOKBERE</t>
  </si>
  <si>
    <t>PURUA</t>
  </si>
  <si>
    <t>9109180905060001</t>
  </si>
  <si>
    <t>NERI LOKBERE</t>
  </si>
  <si>
    <t>PENANE</t>
  </si>
  <si>
    <t>9109182105070001</t>
  </si>
  <si>
    <t>IMIRISON WANDIKBO</t>
  </si>
  <si>
    <t>JENGGELO</t>
  </si>
  <si>
    <t>9109180512080001</t>
  </si>
  <si>
    <t>ISON LOKBERE</t>
  </si>
  <si>
    <t>MAIMO</t>
  </si>
  <si>
    <t>9109184905100001</t>
  </si>
  <si>
    <t>ISONA LOKBERE</t>
  </si>
  <si>
    <t>PENARE</t>
  </si>
  <si>
    <t>9109032606100006</t>
  </si>
  <si>
    <t>9109035511550001</t>
  </si>
  <si>
    <t>MARIANA MELANGGEN</t>
  </si>
  <si>
    <t>9109030903880001</t>
  </si>
  <si>
    <t>MANIEL MELANGGEN</t>
  </si>
  <si>
    <t>UAREM</t>
  </si>
  <si>
    <t>9109031208880001</t>
  </si>
  <si>
    <t>TITUS MIRIP</t>
  </si>
  <si>
    <t>NABIA</t>
  </si>
  <si>
    <t>9109035410940001</t>
  </si>
  <si>
    <t>MARINCE MELANGGEN</t>
  </si>
  <si>
    <t>9109035111990001</t>
  </si>
  <si>
    <t>ALORINA MELANGGEN</t>
  </si>
  <si>
    <t>9109030210840002</t>
  </si>
  <si>
    <t>JULIUS MELANGGEN</t>
  </si>
  <si>
    <t>9109160303980001</t>
  </si>
  <si>
    <t>JIMAS MALANGEN</t>
  </si>
  <si>
    <t>9109031707130002</t>
  </si>
  <si>
    <t>9109030508930001</t>
  </si>
  <si>
    <t>9109035306940001</t>
  </si>
  <si>
    <t>SALINA WANIMBO</t>
  </si>
  <si>
    <t>YENGGELO</t>
  </si>
  <si>
    <t>9109030606960002</t>
  </si>
  <si>
    <t>9109031204130001</t>
  </si>
  <si>
    <t>TERIH LOKBERE</t>
  </si>
  <si>
    <t>9109160407180013</t>
  </si>
  <si>
    <t>9109164403800001</t>
  </si>
  <si>
    <t>JULITA WANDIKBO</t>
  </si>
  <si>
    <t>9109160207980003</t>
  </si>
  <si>
    <t>PATIANUS GWIJANGGE</t>
  </si>
  <si>
    <t>9109161808030001</t>
  </si>
  <si>
    <t>FARDI LOKBERE</t>
  </si>
  <si>
    <t>9109160608050001</t>
  </si>
  <si>
    <t>ENARE LOKBERE</t>
  </si>
  <si>
    <t>9109160509070001</t>
  </si>
  <si>
    <t>TEIT LOKBERE</t>
  </si>
  <si>
    <t>9109160306090002</t>
  </si>
  <si>
    <t>SEDISO LOKBERE</t>
  </si>
  <si>
    <t>WAYUMU</t>
  </si>
  <si>
    <t>9109164802120004</t>
  </si>
  <si>
    <t>KAMISINA GWIJANGGE</t>
  </si>
  <si>
    <t>9109164907120001</t>
  </si>
  <si>
    <t>SENDISINA GWIJANGGE</t>
  </si>
  <si>
    <t>9109164602150001</t>
  </si>
  <si>
    <t>MAYUSINA LOKBERE</t>
  </si>
  <si>
    <t>9109161503190003</t>
  </si>
  <si>
    <t>9109166904900002</t>
  </si>
  <si>
    <t>SABRINA LOKBERE</t>
  </si>
  <si>
    <t>9109162310100001</t>
  </si>
  <si>
    <t>HENGKI WANDIKBO</t>
  </si>
  <si>
    <t>9109162310100002</t>
  </si>
  <si>
    <t>KENIAS WANDIKBO</t>
  </si>
  <si>
    <t>9109161110130002</t>
  </si>
  <si>
    <t>PELEK WANDIKBO</t>
  </si>
  <si>
    <t>9109164811180002</t>
  </si>
  <si>
    <t>PERESELINA WANDIKBO</t>
  </si>
  <si>
    <t>9109160510150008</t>
  </si>
  <si>
    <t>9109160106910001</t>
  </si>
  <si>
    <t>CARLES LOKBERE</t>
  </si>
  <si>
    <t>9109104101950001</t>
  </si>
  <si>
    <t>DEMIANE MAGAL</t>
  </si>
  <si>
    <t>ALAMA</t>
  </si>
  <si>
    <t>9109182412170001</t>
  </si>
  <si>
    <t>YORDAN LOKBERE</t>
  </si>
  <si>
    <t>9109032505100002</t>
  </si>
  <si>
    <t>9109034407800001</t>
  </si>
  <si>
    <t>SALIA LOKBERE</t>
  </si>
  <si>
    <t>9109035103970001</t>
  </si>
  <si>
    <t>SELINUS LOKBERE</t>
  </si>
  <si>
    <t>9109030801000003</t>
  </si>
  <si>
    <t>AGON LOKBERE</t>
  </si>
  <si>
    <t>91090343301020001</t>
  </si>
  <si>
    <t>AKONA NIRIGI</t>
  </si>
  <si>
    <t>9109031011090004</t>
  </si>
  <si>
    <t>RASINA NIRIGI</t>
  </si>
  <si>
    <t>9109031911960001</t>
  </si>
  <si>
    <t>DENUS GWIJANGGE</t>
  </si>
  <si>
    <t>9109162206210007</t>
  </si>
  <si>
    <t>9109162107700002</t>
  </si>
  <si>
    <t>JONAS LOKBERE</t>
  </si>
  <si>
    <t>9109012901130011</t>
  </si>
  <si>
    <t>9109011208540005</t>
  </si>
  <si>
    <t>ALBER GWIJANGGE</t>
  </si>
  <si>
    <t>TAWELMA</t>
  </si>
  <si>
    <t>9109015306530001</t>
  </si>
  <si>
    <t>AGUSTINA PILIGAIN</t>
  </si>
  <si>
    <t>9109014508630004</t>
  </si>
  <si>
    <t>MARIA PILIGAIN</t>
  </si>
  <si>
    <t>9109012002720006</t>
  </si>
  <si>
    <t>IBRANI GWIJANGGE</t>
  </si>
  <si>
    <t>PASTOR</t>
  </si>
  <si>
    <t>9109010205800017</t>
  </si>
  <si>
    <t>ERENIUS GWIJANGGE</t>
  </si>
  <si>
    <t>9109011305940009</t>
  </si>
  <si>
    <t>MARSELIUS GWIJANGGE</t>
  </si>
  <si>
    <t>9109014202090020</t>
  </si>
  <si>
    <t>JESALEMA GWIJANGGE</t>
  </si>
  <si>
    <t>9109014407090014</t>
  </si>
  <si>
    <t>NICKOLIN GWIJANGGE</t>
  </si>
  <si>
    <t>9109014204100010</t>
  </si>
  <si>
    <t>YUSINA GWIJANGGE</t>
  </si>
  <si>
    <t>OKTOPINA GWIJANGGE</t>
  </si>
  <si>
    <t>9109160809160005</t>
  </si>
  <si>
    <t>PRET NIRIGI</t>
  </si>
  <si>
    <t>9109160809160004</t>
  </si>
  <si>
    <t>LIBER NIRIGI</t>
  </si>
  <si>
    <t>9404132903150001</t>
  </si>
  <si>
    <t>ELIANUS WANDIKBO</t>
  </si>
  <si>
    <t>9109011309180035</t>
  </si>
  <si>
    <t>9109010601860017</t>
  </si>
  <si>
    <t>ANGGOLAMUN LOKBERE</t>
  </si>
  <si>
    <t>BEOGA</t>
  </si>
  <si>
    <t>9109014603880014</t>
  </si>
  <si>
    <t>WESTLINA TABUNI</t>
  </si>
  <si>
    <t>AGANDUGUME</t>
  </si>
  <si>
    <t>9109010405960011</t>
  </si>
  <si>
    <t>PINTU LOKBERE</t>
  </si>
  <si>
    <t>WANDU</t>
  </si>
  <si>
    <t>9109010412010003</t>
  </si>
  <si>
    <t>YEKSON LOKBERE</t>
  </si>
  <si>
    <t>9109010602060015</t>
  </si>
  <si>
    <t>BOYEKU LOKBERE</t>
  </si>
  <si>
    <t>9109010503110009</t>
  </si>
  <si>
    <t>YUSU LOKBERE</t>
  </si>
  <si>
    <t>9109010802160002</t>
  </si>
  <si>
    <t>ELSI LOKBERE</t>
  </si>
  <si>
    <t>9109014404170006</t>
  </si>
  <si>
    <t>PAPUANA LOKBERE</t>
  </si>
  <si>
    <t>9109010404170002</t>
  </si>
  <si>
    <t xml:space="preserve">WIRITNAK LOKBERE </t>
  </si>
  <si>
    <t>9109161407210003</t>
  </si>
  <si>
    <t>9202120611900007</t>
  </si>
  <si>
    <t>BASIS MELANGEN</t>
  </si>
  <si>
    <t>9109031507130004</t>
  </si>
  <si>
    <t>9109030510850002</t>
  </si>
  <si>
    <t>MANIEL MELANGEN</t>
  </si>
  <si>
    <t>9109034703810001</t>
  </si>
  <si>
    <t>OLORO MELAGEN</t>
  </si>
  <si>
    <t>9109037006130001</t>
  </si>
  <si>
    <t>JALIDAH MELANGEN</t>
  </si>
  <si>
    <t>9109032103860001</t>
  </si>
  <si>
    <t>BIONUS WANDIKBO</t>
  </si>
  <si>
    <t>9109032802020004</t>
  </si>
  <si>
    <t>9109161308180011</t>
  </si>
  <si>
    <t>9109161007920001</t>
  </si>
  <si>
    <t>POLCE AMISIM</t>
  </si>
  <si>
    <t>9109011105210008</t>
  </si>
  <si>
    <t>9109011504830011</t>
  </si>
  <si>
    <t>LEGION WANDIKBO</t>
  </si>
  <si>
    <t>9404012306230007</t>
  </si>
  <si>
    <t>IMANUEL GION EFRAT WANDIKBO</t>
  </si>
  <si>
    <t>9109014112030022</t>
  </si>
  <si>
    <t>PIPINA LOKBERE</t>
  </si>
  <si>
    <t>ALGURU</t>
  </si>
  <si>
    <t>9109033006100004</t>
  </si>
  <si>
    <t>9109034802860001</t>
  </si>
  <si>
    <t>ADOL LOKBERE</t>
  </si>
  <si>
    <t>9109030307930001</t>
  </si>
  <si>
    <t>CARIUS LOKBERE</t>
  </si>
  <si>
    <t>9109150501940001</t>
  </si>
  <si>
    <t>JHON LOKBERE</t>
  </si>
  <si>
    <t>9109161306990001</t>
  </si>
  <si>
    <t>EKI WANTIK</t>
  </si>
  <si>
    <t>9109161510010001</t>
  </si>
  <si>
    <t xml:space="preserve">EIDES NIRIGI </t>
  </si>
  <si>
    <t>9109166205080001</t>
  </si>
  <si>
    <t>SEMINA LOKBERE</t>
  </si>
  <si>
    <t>9109161108960001</t>
  </si>
  <si>
    <t>CHARLES LOKOMBRE</t>
  </si>
  <si>
    <t>9109032602150001</t>
  </si>
  <si>
    <t>9101011306890003</t>
  </si>
  <si>
    <t>WARSITO</t>
  </si>
  <si>
    <t>BELITUNG</t>
  </si>
  <si>
    <t>GURU</t>
  </si>
  <si>
    <t>RT 04</t>
  </si>
  <si>
    <t>9101014405880006</t>
  </si>
  <si>
    <t>ANIK YULIASTUTIK</t>
  </si>
  <si>
    <t xml:space="preserve">PEREMPUAN </t>
  </si>
  <si>
    <t>9101012307120001</t>
  </si>
  <si>
    <t>ABDUL MUBARAK</t>
  </si>
  <si>
    <t>9101015108140001</t>
  </si>
  <si>
    <t>HURIYAH AZIZAH AZZAH</t>
  </si>
  <si>
    <t>9101011702930005</t>
  </si>
  <si>
    <t>TRI SUHARDI</t>
  </si>
  <si>
    <t>CILACAP</t>
  </si>
  <si>
    <t>9109160711180001</t>
  </si>
  <si>
    <t>9206112812940001</t>
  </si>
  <si>
    <t>MUHAMMMAD ZAKKYUL IMAN</t>
  </si>
  <si>
    <t>1404084311890002</t>
  </si>
  <si>
    <t>PUTRI NILA SARI</t>
  </si>
  <si>
    <t>SEI. GUNTUNG</t>
  </si>
  <si>
    <t>9109161811190009</t>
  </si>
  <si>
    <t>7311016207940001</t>
  </si>
  <si>
    <t>MIFTAHUL JANNAH</t>
  </si>
  <si>
    <t>TARAKAN</t>
  </si>
  <si>
    <t>9109032311100006</t>
  </si>
  <si>
    <t>9109036011770001</t>
  </si>
  <si>
    <t>ANIK MINHAYATI</t>
  </si>
  <si>
    <t>9109034502040002</t>
  </si>
  <si>
    <t>SALSABILA ABDUL SOMAD</t>
  </si>
  <si>
    <t>9109032103190001</t>
  </si>
  <si>
    <t>7404051507950002</t>
  </si>
  <si>
    <t>LASMANA MAULID</t>
  </si>
  <si>
    <t>MAPALENDA</t>
  </si>
  <si>
    <t>7324084606980001</t>
  </si>
  <si>
    <t>LISA T</t>
  </si>
  <si>
    <t>RANTAEDAMAI</t>
  </si>
  <si>
    <t>9109165308190005</t>
  </si>
  <si>
    <t>ADIRA AZZAHRA</t>
  </si>
  <si>
    <t>9109160503190006</t>
  </si>
  <si>
    <t>9109034609720001</t>
  </si>
  <si>
    <t>DARMAWATI</t>
  </si>
  <si>
    <t>1472035502130002</t>
  </si>
  <si>
    <t>SHODIYYAH AN NAADHIROH NASUTION</t>
  </si>
  <si>
    <t>DUMAI</t>
  </si>
  <si>
    <t>1472035507140001</t>
  </si>
  <si>
    <t>RUQOYYAH AN NAADHIROH NASUTION</t>
  </si>
  <si>
    <t>9109160408160001</t>
  </si>
  <si>
    <t>9106111003630001</t>
  </si>
  <si>
    <t>SAMSUL ARIF</t>
  </si>
  <si>
    <t>9206116307750002</t>
  </si>
  <si>
    <t>NUR NIA GANI</t>
  </si>
  <si>
    <t>ENREKANG</t>
  </si>
  <si>
    <t>9206112001960001</t>
  </si>
  <si>
    <t>M SYARIEF NID</t>
  </si>
  <si>
    <t>9206112709990001</t>
  </si>
  <si>
    <t>SHOFWAN AL MUQHIRO</t>
  </si>
  <si>
    <t>9206110309020002</t>
  </si>
  <si>
    <t>IZUDDIN AL QOSIM</t>
  </si>
  <si>
    <t>9206116606030001</t>
  </si>
  <si>
    <t>SITI FATIMAH AZZAROH</t>
  </si>
  <si>
    <t>BINTUNI</t>
  </si>
  <si>
    <t>9109162709100002</t>
  </si>
  <si>
    <t>THORIQI DINUR ROHMAN</t>
  </si>
  <si>
    <t>7324050508090101</t>
  </si>
  <si>
    <t>7324052907840001</t>
  </si>
  <si>
    <t>ZULKARNAIN</t>
  </si>
  <si>
    <t>LAMAETO</t>
  </si>
  <si>
    <t>7324056006860001</t>
  </si>
  <si>
    <t>FITRIANINGSIH</t>
  </si>
  <si>
    <t>7324052109050001</t>
  </si>
  <si>
    <t>IRFANSYACH</t>
  </si>
  <si>
    <t>7324051906110001</t>
  </si>
  <si>
    <t>ARIF RAHMAN</t>
  </si>
  <si>
    <t>9109031506100022</t>
  </si>
  <si>
    <t>9109031008780001</t>
  </si>
  <si>
    <t>AINUROSID</t>
  </si>
  <si>
    <t>9109036805870001</t>
  </si>
  <si>
    <t>SUMIATUN</t>
  </si>
  <si>
    <t>SERANG</t>
  </si>
  <si>
    <t>9109036307110001</t>
  </si>
  <si>
    <t>ZAIDAH NADA NADHIFAH</t>
  </si>
  <si>
    <t>9109031108140001</t>
  </si>
  <si>
    <t>MUHAMMMAD ZAHIR ALI</t>
  </si>
  <si>
    <t>6402142106190001</t>
  </si>
  <si>
    <t>1472034907810001</t>
  </si>
  <si>
    <t>YULIANA</t>
  </si>
  <si>
    <t>BALIK PAPAN</t>
  </si>
  <si>
    <t>1472022706130004</t>
  </si>
  <si>
    <t>ANDREAS SYAHPUTRA SIHOMBING</t>
  </si>
  <si>
    <t>9109160511180004</t>
  </si>
  <si>
    <t>5306071809900002</t>
  </si>
  <si>
    <t>IDHAM KALID BAHRUDDIN</t>
  </si>
  <si>
    <t>LOHAYONG</t>
  </si>
  <si>
    <t>5306076211910001</t>
  </si>
  <si>
    <t>UNAIDAH ABDUL GAFUR</t>
  </si>
  <si>
    <t>9109166803190001</t>
  </si>
  <si>
    <t>HAMIZAH HAFIDZATUL ILMI</t>
  </si>
  <si>
    <t>9109160909170004</t>
  </si>
  <si>
    <t>9101010510610003</t>
  </si>
  <si>
    <t>ASNAWI RAHANYAMTEL</t>
  </si>
  <si>
    <t>9101014708620001</t>
  </si>
  <si>
    <t>RUPIAH RAHANYAMTEL</t>
  </si>
  <si>
    <t>JAWA TENGAH</t>
  </si>
  <si>
    <t>9109160902210012</t>
  </si>
  <si>
    <t>9103012905980002</t>
  </si>
  <si>
    <t>ARIFIQ FATHUL HAQ RUMAF</t>
  </si>
  <si>
    <t>3312124605980001</t>
  </si>
  <si>
    <t>IZZAH AL MUSLIMAH</t>
  </si>
  <si>
    <t>WONOGIRI</t>
  </si>
  <si>
    <t>9109031603210002</t>
  </si>
  <si>
    <t>7317200107020004</t>
  </si>
  <si>
    <t>ERWIN</t>
  </si>
  <si>
    <t>TIBUSSAN</t>
  </si>
  <si>
    <t>9109031603210003</t>
  </si>
  <si>
    <t>9203012308950004</t>
  </si>
  <si>
    <t>SARMAN TANASALE</t>
  </si>
  <si>
    <t>SERAM</t>
  </si>
  <si>
    <t>9109030208100045</t>
  </si>
  <si>
    <t>9109030702680001</t>
  </si>
  <si>
    <t>EDY HERIANTO</t>
  </si>
  <si>
    <t>SINJAI</t>
  </si>
  <si>
    <t>9109034702720002</t>
  </si>
  <si>
    <t>SYUKRIA</t>
  </si>
  <si>
    <t>JENEPONTO</t>
  </si>
  <si>
    <t>9109036402020001</t>
  </si>
  <si>
    <t>ASMAUL HUSNA</t>
  </si>
  <si>
    <t>SAMARINDA</t>
  </si>
  <si>
    <t>9109030602060001</t>
  </si>
  <si>
    <t>AHMAD NABIL NURFAUZAN</t>
  </si>
  <si>
    <t>BULUNGAN</t>
  </si>
  <si>
    <t>9109034703450001</t>
  </si>
  <si>
    <t>RABANONG</t>
  </si>
  <si>
    <t>9109033107100050</t>
  </si>
  <si>
    <t>9109031312800003</t>
  </si>
  <si>
    <t>SYAHRUL</t>
  </si>
  <si>
    <t>TANGRU</t>
  </si>
  <si>
    <t>9109035103820001</t>
  </si>
  <si>
    <t>MULIANI TAHIR</t>
  </si>
  <si>
    <t>BIA</t>
  </si>
  <si>
    <t>9109034204050001</t>
  </si>
  <si>
    <t>AISYAH NUR RAMADHANI</t>
  </si>
  <si>
    <t>9109032607070001</t>
  </si>
  <si>
    <t>MUSTHAFAINAL  AKHYAAR</t>
  </si>
  <si>
    <t>9109035806150001</t>
  </si>
  <si>
    <t>NAURAH HURUN'IN</t>
  </si>
  <si>
    <t>9109031508910001</t>
  </si>
  <si>
    <t>MASDIN</t>
  </si>
  <si>
    <t>TANRU</t>
  </si>
  <si>
    <t>9109031404980002</t>
  </si>
  <si>
    <t>BADRUL MUHAYAT</t>
  </si>
  <si>
    <t>9109031103020002</t>
  </si>
  <si>
    <t>WAHYUDI</t>
  </si>
  <si>
    <t>PALOPO</t>
  </si>
  <si>
    <t>9109032005100018</t>
  </si>
  <si>
    <t>9109032503690001</t>
  </si>
  <si>
    <t xml:space="preserve">MUHAMMAD NASIR  </t>
  </si>
  <si>
    <t>MAJENE</t>
  </si>
  <si>
    <t>9109036607720001</t>
  </si>
  <si>
    <t>FIKRIYAH</t>
  </si>
  <si>
    <t>9109031408980002</t>
  </si>
  <si>
    <t>MUH SYAIFULLAH</t>
  </si>
  <si>
    <t>9109030805000001</t>
  </si>
  <si>
    <t>MUHAMMAD MIFTAHUS SALAM</t>
  </si>
  <si>
    <t>9109036811010001</t>
  </si>
  <si>
    <t>NAFSIAH MUTHMAINNAH</t>
  </si>
  <si>
    <t>9109032112020001</t>
  </si>
  <si>
    <t>MUHAMMAD SALAMAN ABDULLAH RAUF</t>
  </si>
  <si>
    <t>9109033105060001</t>
  </si>
  <si>
    <t>MUHAMMAD HANIF MU'TASIM</t>
  </si>
  <si>
    <t>9109030203100001</t>
  </si>
  <si>
    <t>MUHAMMAD MUNIF NAZHIM</t>
  </si>
  <si>
    <t>9109162811170028</t>
  </si>
  <si>
    <t>8171040512920003</t>
  </si>
  <si>
    <t>LA ABDUL HAMID</t>
  </si>
  <si>
    <t>9109034805000002</t>
  </si>
  <si>
    <t>ATIKA</t>
  </si>
  <si>
    <t>BALIKPAPAN</t>
  </si>
  <si>
    <t>9109010605100014</t>
  </si>
  <si>
    <t>9109011010730012</t>
  </si>
  <si>
    <t>RAHMAN BACO</t>
  </si>
  <si>
    <t>9109037112650001</t>
  </si>
  <si>
    <t>NURSIAH L</t>
  </si>
  <si>
    <t>BALLE</t>
  </si>
  <si>
    <t>8102020504020002</t>
  </si>
  <si>
    <t>SYAFARUDDIN BACO</t>
  </si>
  <si>
    <t>9109165010100001</t>
  </si>
  <si>
    <t>AMIRAH SAKINA HASYIM</t>
  </si>
  <si>
    <t>KAIMANA</t>
  </si>
  <si>
    <t>9109032605100001</t>
  </si>
  <si>
    <t>9109033012570001</t>
  </si>
  <si>
    <t>AHMAD SYAKIR MUFLIH</t>
  </si>
  <si>
    <t>BARAKA</t>
  </si>
  <si>
    <t>9109035212700002</t>
  </si>
  <si>
    <t>SUHARNI</t>
  </si>
  <si>
    <t>9109031212970001</t>
  </si>
  <si>
    <t>ABDUL FAA'IZ RIFQI</t>
  </si>
  <si>
    <t>9109036701000001</t>
  </si>
  <si>
    <t>RIFA'ATUL MAHMUDAH</t>
  </si>
  <si>
    <t>9109034910020002</t>
  </si>
  <si>
    <t>AFIFAH TUSSA'ADAH</t>
  </si>
  <si>
    <t>9109036111030001</t>
  </si>
  <si>
    <t>DIAN KHAIRANA MUTI'AH</t>
  </si>
  <si>
    <t>9109030908070001</t>
  </si>
  <si>
    <t>AHMAD FARRUQ DZAKY</t>
  </si>
  <si>
    <t>9109036311110001</t>
  </si>
  <si>
    <t>MUFIDA SYIFA GHINA SALSABILA</t>
  </si>
  <si>
    <t>9109011506110028</t>
  </si>
  <si>
    <t>9109010805830014</t>
  </si>
  <si>
    <t>SUMANTRI</t>
  </si>
  <si>
    <t>9109161403160010</t>
  </si>
  <si>
    <t>9105011504700004</t>
  </si>
  <si>
    <t>KASIM RUMAF</t>
  </si>
  <si>
    <t>USTADZ</t>
  </si>
  <si>
    <t>9103014909740003</t>
  </si>
  <si>
    <t>MUTMAINAH</t>
  </si>
  <si>
    <t>9103016705960006</t>
  </si>
  <si>
    <t>JUNDIA FATHIATUL JANNAH RUMAF</t>
  </si>
  <si>
    <t>ARAFIQ FATHUL HAQ RUMAF</t>
  </si>
  <si>
    <t>9103012504070005</t>
  </si>
  <si>
    <t>MUHAMMAD ZAHFRAN SHOLEH RUMAF</t>
  </si>
  <si>
    <t>SERUI</t>
  </si>
  <si>
    <t>9103013007120001</t>
  </si>
  <si>
    <t>AHMAD DAFFA AL-FARUQ RUMAF</t>
  </si>
  <si>
    <t>SENTANI</t>
  </si>
  <si>
    <t>9109160312200001</t>
  </si>
  <si>
    <t>1271142511940001</t>
  </si>
  <si>
    <t>AHMAD KARIMUDDIN LUBIS</t>
  </si>
  <si>
    <t>9109034101960001</t>
  </si>
  <si>
    <t>ANNISA NUR FADHILA</t>
  </si>
  <si>
    <t>9109164406200001</t>
  </si>
  <si>
    <t>HAURA ZAARA SALSABILA LUBIS</t>
  </si>
  <si>
    <t>9109032312130001</t>
  </si>
  <si>
    <t>9109030202920002</t>
  </si>
  <si>
    <t>PAUL GWIJANGGE</t>
  </si>
  <si>
    <t>9109065601800001</t>
  </si>
  <si>
    <t>KUDUGUR WANDIKBO</t>
  </si>
  <si>
    <t>9109064805080002</t>
  </si>
  <si>
    <t>BISINA BISIKBO</t>
  </si>
  <si>
    <t>9109161207120002</t>
  </si>
  <si>
    <t>RICKO GWIJANGGE</t>
  </si>
  <si>
    <t>KILMIT</t>
  </si>
  <si>
    <t>9109160610160002</t>
  </si>
  <si>
    <t>PAULUS GWIJANGGE</t>
  </si>
  <si>
    <t>9109166503170001</t>
  </si>
  <si>
    <t>YUNOLIA GWIJANGGE</t>
  </si>
  <si>
    <t>9109166503170002</t>
  </si>
  <si>
    <t>RALINA GWIJANGGE</t>
  </si>
  <si>
    <t>9109031301140001</t>
  </si>
  <si>
    <t>9109031304760001</t>
  </si>
  <si>
    <t>SOLIMAN GWIJANGGE</t>
  </si>
  <si>
    <t>9109165107800001</t>
  </si>
  <si>
    <t>BENLUORAK WANIMBO</t>
  </si>
  <si>
    <t>TENGELO</t>
  </si>
  <si>
    <t>9109160109980001</t>
  </si>
  <si>
    <t>ARNOL GWIJANGGE</t>
  </si>
  <si>
    <t>9109166003010001</t>
  </si>
  <si>
    <t>LUMLUM GWIJANGGE</t>
  </si>
  <si>
    <t>9109160711030001</t>
  </si>
  <si>
    <t>LOGANUS GWIJANGGE</t>
  </si>
  <si>
    <t>9109166310080001</t>
  </si>
  <si>
    <t>PENINA GWIJANGGE</t>
  </si>
  <si>
    <t>9109164802120001</t>
  </si>
  <si>
    <t>MERINA GWIJANGGE</t>
  </si>
  <si>
    <t>9109163009150002</t>
  </si>
  <si>
    <t>LUBAGEN GWIJANGGE</t>
  </si>
  <si>
    <t>9109162006190005</t>
  </si>
  <si>
    <t>9106110203010001</t>
  </si>
  <si>
    <t>MUHAMMAD FAUZUL AZHIM</t>
  </si>
  <si>
    <t>RANTEMARIO</t>
  </si>
  <si>
    <t>9106113112010001</t>
  </si>
  <si>
    <t>ABDUL MUNDZIR MUBARAK</t>
  </si>
  <si>
    <t>BONTO TAWALA PALOPO</t>
  </si>
  <si>
    <t>9106125609020002</t>
  </si>
  <si>
    <t>NURUL SALSABILA</t>
  </si>
  <si>
    <t>9109031106100012</t>
  </si>
  <si>
    <t>9109031304620001</t>
  </si>
  <si>
    <t>SARIPUDIN</t>
  </si>
  <si>
    <t>BANDUNG</t>
  </si>
  <si>
    <t>PENSIUNAN</t>
  </si>
  <si>
    <t>9109037112780001</t>
  </si>
  <si>
    <t>YULIASIH</t>
  </si>
  <si>
    <t>9109032804860001</t>
  </si>
  <si>
    <t>SYAFRIL ADANG HIDAYAT</t>
  </si>
  <si>
    <t>9109036810020001</t>
  </si>
  <si>
    <t>ATY NOVIA WIDIA ASTUTI SABANDAFA</t>
  </si>
  <si>
    <t>9109032912130001</t>
  </si>
  <si>
    <t>DENNY WAHYU PURNAMA</t>
  </si>
  <si>
    <t>9109164403130001</t>
  </si>
  <si>
    <t>ZANETA DENESTIA PUTRI</t>
  </si>
  <si>
    <t>9171020406850004</t>
  </si>
  <si>
    <t>RUSLAN</t>
  </si>
  <si>
    <t>MAROS</t>
  </si>
  <si>
    <t>7307080910970002</t>
  </si>
  <si>
    <t>WAWAN WIJAYA</t>
  </si>
  <si>
    <t>9109162611190009</t>
  </si>
  <si>
    <t>5303020310820003</t>
  </si>
  <si>
    <t>ROBERTUS HENDRIK ANUNUT</t>
  </si>
  <si>
    <t>LEMON</t>
  </si>
  <si>
    <t>9109031506100023</t>
  </si>
  <si>
    <t>9109031106830001</t>
  </si>
  <si>
    <t>AKBAR RIDLOY</t>
  </si>
  <si>
    <t>DEMAK</t>
  </si>
  <si>
    <t>9109034310870001</t>
  </si>
  <si>
    <t>NUR LAILATUL JANNAH</t>
  </si>
  <si>
    <t>JAKARTA</t>
  </si>
  <si>
    <t>9109033112080001</t>
  </si>
  <si>
    <t>MUHAMMAD GHOZY AL-FAYIZ</t>
  </si>
  <si>
    <t>9109032604100001</t>
  </si>
  <si>
    <t>GIZA ABDUL GHOLY</t>
  </si>
  <si>
    <t>9109036804110001</t>
  </si>
  <si>
    <t>GHAIDA NAFEEZAHIKARI</t>
  </si>
  <si>
    <t>9109033107100051</t>
  </si>
  <si>
    <t>9109031102780001</t>
  </si>
  <si>
    <t>MUJAHIDIN</t>
  </si>
  <si>
    <t>9109034610800001</t>
  </si>
  <si>
    <t>SITI FAJRIYAH</t>
  </si>
  <si>
    <t>9109034503040002</t>
  </si>
  <si>
    <t>USWATUN HASANAH</t>
  </si>
  <si>
    <t>9109031702080003</t>
  </si>
  <si>
    <t>ABDULLAH FA'IQ</t>
  </si>
  <si>
    <t>9109032411090002</t>
  </si>
  <si>
    <t>MUHAMMAD ROFIQ A'LAA</t>
  </si>
  <si>
    <t>9109165603180002</t>
  </si>
  <si>
    <t>ANNISA IFRA MIKAYLA</t>
  </si>
  <si>
    <t>9109030208100044</t>
  </si>
  <si>
    <t>9109032003680001</t>
  </si>
  <si>
    <t>PURWITO</t>
  </si>
  <si>
    <t>MADIUN</t>
  </si>
  <si>
    <t>TUKANG BATU</t>
  </si>
  <si>
    <t>9109035704720001</t>
  </si>
  <si>
    <t>SULASTRI</t>
  </si>
  <si>
    <t>9109030909980001</t>
  </si>
  <si>
    <t>FAHMI HANIFULLAH</t>
  </si>
  <si>
    <t>9109035412030001</t>
  </si>
  <si>
    <t>AZIZAH MUSLIMAH</t>
  </si>
  <si>
    <t>9109030603060002</t>
  </si>
  <si>
    <t>ABDULLAH FAUZAN</t>
  </si>
  <si>
    <t>9109031504080001</t>
  </si>
  <si>
    <t>ABDULRAHMAN SHOLEH</t>
  </si>
  <si>
    <t>9109163008210001</t>
  </si>
  <si>
    <t>9109030701710001</t>
  </si>
  <si>
    <t>HASANUDDIN</t>
  </si>
  <si>
    <t>BONE</t>
  </si>
  <si>
    <t>9109037004700001</t>
  </si>
  <si>
    <t>ARIFAH</t>
  </si>
  <si>
    <t>9109035908980001</t>
  </si>
  <si>
    <t>MUFLIHAH</t>
  </si>
  <si>
    <t>9109031605030001</t>
  </si>
  <si>
    <t>ABD. WARIS</t>
  </si>
  <si>
    <t>9109030107050002</t>
  </si>
  <si>
    <t>ABD. HAFIDZ</t>
  </si>
  <si>
    <t>9109032301080003</t>
  </si>
  <si>
    <t>ABD. ROZAQ</t>
  </si>
  <si>
    <t>NABIRE</t>
  </si>
  <si>
    <t>9109036604100001</t>
  </si>
  <si>
    <t>MUSLIMAH</t>
  </si>
  <si>
    <t>9109166704150001</t>
  </si>
  <si>
    <t>MARHAMAH</t>
  </si>
  <si>
    <t>9109030607100008</t>
  </si>
  <si>
    <t>9109031911720001</t>
  </si>
  <si>
    <t>DJUFRI BATJO</t>
  </si>
  <si>
    <t>9109037112790002</t>
  </si>
  <si>
    <t>NIRMINA</t>
  </si>
  <si>
    <t>SAWERIGADI</t>
  </si>
  <si>
    <t>9109035911020001</t>
  </si>
  <si>
    <t>SUCI RAMADHANI</t>
  </si>
  <si>
    <t>9109030212030001</t>
  </si>
  <si>
    <t>9109035206070001</t>
  </si>
  <si>
    <t>NUR HASANAH</t>
  </si>
  <si>
    <t>9109034508080001</t>
  </si>
  <si>
    <t>AINUN MARDIAH</t>
  </si>
  <si>
    <t>9109032611100004</t>
  </si>
  <si>
    <t>9109032103730001</t>
  </si>
  <si>
    <t>MUHAMMAD YUNUS</t>
  </si>
  <si>
    <t>MATAJANG</t>
  </si>
  <si>
    <t>9109036903780001</t>
  </si>
  <si>
    <t>KHAERATI</t>
  </si>
  <si>
    <t>9109035607010001</t>
  </si>
  <si>
    <t>ALFIYYAH NUR'ATHIFAH</t>
  </si>
  <si>
    <t>9109036109030001</t>
  </si>
  <si>
    <t>ULFAH DZAFIRAH</t>
  </si>
  <si>
    <t>9109032310050002</t>
  </si>
  <si>
    <t>MUHAMMAD FATURRAHMAN</t>
  </si>
  <si>
    <t>MAMUJU</t>
  </si>
  <si>
    <t>9109032310050001</t>
  </si>
  <si>
    <t>MUHAMMAD TAUFIQURRAHMAN</t>
  </si>
  <si>
    <t>9109033006130001</t>
  </si>
  <si>
    <t>ZULFAN AZHAR RAIHAN</t>
  </si>
  <si>
    <t>9109033004100023</t>
  </si>
  <si>
    <t>9109031803780001</t>
  </si>
  <si>
    <t>KARYAWAN BUMD</t>
  </si>
  <si>
    <t>9109034902890002</t>
  </si>
  <si>
    <t>ELPIRA WANDIKBO</t>
  </si>
  <si>
    <t>9109035009060001</t>
  </si>
  <si>
    <t>ZIPORA M. NIRIGI</t>
  </si>
  <si>
    <t>9109034809080003</t>
  </si>
  <si>
    <t>AMOLINA NIRIGI</t>
  </si>
  <si>
    <t>9109032309100001</t>
  </si>
  <si>
    <t>9109035807120001</t>
  </si>
  <si>
    <t>MARNI WANDIKBO</t>
  </si>
  <si>
    <t>9109035506950001</t>
  </si>
  <si>
    <t>MINCELINA TINI</t>
  </si>
  <si>
    <t>9109030809960001</t>
  </si>
  <si>
    <t>SARDY GUJANGGE</t>
  </si>
  <si>
    <t>9109036505020001</t>
  </si>
  <si>
    <t>YAKOBA GWIJANGGE</t>
  </si>
  <si>
    <t>9109035003030001</t>
  </si>
  <si>
    <t>MERLIN GWIJANGGE</t>
  </si>
  <si>
    <t>9109030902150004</t>
  </si>
  <si>
    <t>3329122308840001</t>
  </si>
  <si>
    <t>WAHYUDIN</t>
  </si>
  <si>
    <t>BREBES</t>
  </si>
  <si>
    <t>7316107101910001</t>
  </si>
  <si>
    <t>NUR SRI HARDIANTI</t>
  </si>
  <si>
    <t>PANYURAK</t>
  </si>
  <si>
    <t>9109035102150001</t>
  </si>
  <si>
    <t>BALQIS ADZAR FAIHA RIFDA</t>
  </si>
  <si>
    <t>9109162501160003</t>
  </si>
  <si>
    <t>MARYAM NUSAIBAH ABDULLAH</t>
  </si>
  <si>
    <t>9109162203210010</t>
  </si>
  <si>
    <t>9109036506650001</t>
  </si>
  <si>
    <t>NUNUNG NURHAYATI</t>
  </si>
  <si>
    <t>CIREBON</t>
  </si>
  <si>
    <t>9109032607970001</t>
  </si>
  <si>
    <t>ZAID AMIN</t>
  </si>
  <si>
    <t>BERAU</t>
  </si>
  <si>
    <t>9109030805030001</t>
  </si>
  <si>
    <t>IBNU JIHAD</t>
  </si>
  <si>
    <t>ACEH UTARA</t>
  </si>
  <si>
    <t>9109010805100024</t>
  </si>
  <si>
    <t>9109011003730005</t>
  </si>
  <si>
    <t>HAMZAH</t>
  </si>
  <si>
    <t>9109014107780018</t>
  </si>
  <si>
    <t>ROSMINI</t>
  </si>
  <si>
    <t>9109011002060004</t>
  </si>
  <si>
    <t>SAHRIL</t>
  </si>
  <si>
    <t>9109011007090005</t>
  </si>
  <si>
    <t>HASAMAN</t>
  </si>
  <si>
    <t>9109015010110006</t>
  </si>
  <si>
    <t>SITI NUR AISYAH</t>
  </si>
  <si>
    <t>9109030612120002</t>
  </si>
  <si>
    <t>9109034203760001</t>
  </si>
  <si>
    <t>LIDIA LOKBERE</t>
  </si>
  <si>
    <t>SOROMA</t>
  </si>
  <si>
    <t>9109160708170032</t>
  </si>
  <si>
    <t>9171040104730001</t>
  </si>
  <si>
    <t>AL DJUFRI MUHAMMAD</t>
  </si>
  <si>
    <t>SUL - SEL</t>
  </si>
  <si>
    <t>9171045011750001</t>
  </si>
  <si>
    <t>MUJAHIDAH</t>
  </si>
  <si>
    <t>9101016108980004</t>
  </si>
  <si>
    <t xml:space="preserve">NUR FAUZIAH AL DJUFRI MUHAMMAD </t>
  </si>
  <si>
    <t>9171042407010002</t>
  </si>
  <si>
    <t>FAUZAN AL DJUFRI MUHAMMAD</t>
  </si>
  <si>
    <t>9171042806070001</t>
  </si>
  <si>
    <t>FAIZ AL DJUFRI MUHAMMAD</t>
  </si>
  <si>
    <t>PAPUA</t>
  </si>
  <si>
    <t>9171040411080001</t>
  </si>
  <si>
    <t>ABDURRAHMAN AL DJUFRI MUHAMMAD</t>
  </si>
  <si>
    <t>9101015307130002</t>
  </si>
  <si>
    <t>NURUL AZKIYA AL DJUFRI MUHAMMAD</t>
  </si>
  <si>
    <t>9109033009100001</t>
  </si>
  <si>
    <t>9109030507800001</t>
  </si>
  <si>
    <t>ALINUS GWIJANGGE</t>
  </si>
  <si>
    <t>NOWENA</t>
  </si>
  <si>
    <t>9109036110830001</t>
  </si>
  <si>
    <t>PITA NIRIGI</t>
  </si>
  <si>
    <t>9109034211050001</t>
  </si>
  <si>
    <t>NESLIN GWIJANGGE</t>
  </si>
  <si>
    <t>9109036907070001</t>
  </si>
  <si>
    <t>ELEN GWIJANGGE</t>
  </si>
  <si>
    <t>9109035109090001</t>
  </si>
  <si>
    <t>ELCINA GWIJANGGE</t>
  </si>
  <si>
    <t>9109162411100001</t>
  </si>
  <si>
    <t>KRISTIAN GWIJANGGE</t>
  </si>
  <si>
    <t>9109162802130001</t>
  </si>
  <si>
    <t>SPAEN GWIJANGGE</t>
  </si>
  <si>
    <t>9109166702140001</t>
  </si>
  <si>
    <t>ANEROLIO GWIJANGGE</t>
  </si>
  <si>
    <t>9109160602180003</t>
  </si>
  <si>
    <t>OGIL GWIJANGGE</t>
  </si>
  <si>
    <t>9109031203150001</t>
  </si>
  <si>
    <t>9109031508810004</t>
  </si>
  <si>
    <t>MOHAMMAD RAMLI</t>
  </si>
  <si>
    <t>PAMEKASAN</t>
  </si>
  <si>
    <t>3528104609890002</t>
  </si>
  <si>
    <t>JUWAIRIYAH</t>
  </si>
  <si>
    <t>7311017012020001</t>
  </si>
  <si>
    <t>MIFTAHUL QOLBI</t>
  </si>
  <si>
    <t>9109031603210001</t>
  </si>
  <si>
    <t>6408080702910001</t>
  </si>
  <si>
    <t>ANDUNG TOHA BAQIRUDIN</t>
  </si>
  <si>
    <t>TELUK KAYU</t>
  </si>
  <si>
    <t>6471016401920001</t>
  </si>
  <si>
    <t>UMI ATIYAH</t>
  </si>
  <si>
    <t>BIDAN</t>
  </si>
  <si>
    <t>6471012405170001</t>
  </si>
  <si>
    <t>MUHAMMAD UMAM AYATURRAHMAN</t>
  </si>
  <si>
    <t>9109011508160030</t>
  </si>
  <si>
    <t>9109011206900020</t>
  </si>
  <si>
    <t>JAMUL HIDAYAT</t>
  </si>
  <si>
    <t>NTB</t>
  </si>
  <si>
    <t>9109014702850006</t>
  </si>
  <si>
    <t>KHADIJAH</t>
  </si>
  <si>
    <t>KARYAWAN HONORER</t>
  </si>
  <si>
    <t>9109011904050009</t>
  </si>
  <si>
    <t>MUHAMMAD ZAKY ABDILLAH</t>
  </si>
  <si>
    <t>9109162409200005</t>
  </si>
  <si>
    <t>9101100110930001</t>
  </si>
  <si>
    <t>MUHAMMAD MANSYUR</t>
  </si>
  <si>
    <t>9109033107100043</t>
  </si>
  <si>
    <t>9109030206840002</t>
  </si>
  <si>
    <t>YULI GWIJANGGE</t>
  </si>
  <si>
    <t>PERAWAT</t>
  </si>
  <si>
    <t>9109035205880001</t>
  </si>
  <si>
    <t>RINA POKNIANGGE</t>
  </si>
  <si>
    <t>9109035904080001</t>
  </si>
  <si>
    <t>PIA YETY GWIJANGGE</t>
  </si>
  <si>
    <t>9109034406030003</t>
  </si>
  <si>
    <t>BENA GWIJANGGE</t>
  </si>
  <si>
    <t>9109160603200006</t>
  </si>
  <si>
    <t>9110050805940001</t>
  </si>
  <si>
    <t>DIKA HANGGA ARIF</t>
  </si>
  <si>
    <t>9101104110950001</t>
  </si>
  <si>
    <t>SITI FATIMAH</t>
  </si>
  <si>
    <t>9109164909210001</t>
  </si>
  <si>
    <t>NUSAIBAH KAYLA KAMILAH</t>
  </si>
  <si>
    <t>9109033107100028</t>
  </si>
  <si>
    <t>9109031403850001</t>
  </si>
  <si>
    <t>ASER GWIJANGGE</t>
  </si>
  <si>
    <t>9109035403850001</t>
  </si>
  <si>
    <t>TINA MAGAI</t>
  </si>
  <si>
    <t>MANAP</t>
  </si>
  <si>
    <t>9109034101040001</t>
  </si>
  <si>
    <t>MARSELA GWIJANGGE</t>
  </si>
  <si>
    <t>9109031108090001</t>
  </si>
  <si>
    <t>ASMIR GWIJANGGE</t>
  </si>
  <si>
    <t>9109163006100001</t>
  </si>
  <si>
    <t>MIRANCE GWIJANGGE</t>
  </si>
  <si>
    <t>9109165807120002</t>
  </si>
  <si>
    <t>MARTHA GWIJANGGE</t>
  </si>
  <si>
    <t>9109162303160001</t>
  </si>
  <si>
    <t>SAMUEL GWIJANGGE</t>
  </si>
  <si>
    <t>9109162206180004</t>
  </si>
  <si>
    <t>YOHANIS GWIJANGGE</t>
  </si>
  <si>
    <t>9404166112990001</t>
  </si>
  <si>
    <t>EMINA GWIJANGGE</t>
  </si>
  <si>
    <t>DOU</t>
  </si>
  <si>
    <t>9109162107200007</t>
  </si>
  <si>
    <t>6108041301800001</t>
  </si>
  <si>
    <t>YONAS TEOS BABU</t>
  </si>
  <si>
    <t>6108044711750002</t>
  </si>
  <si>
    <t>LIATURTI MARTINI</t>
  </si>
  <si>
    <t>ANGKABANG</t>
  </si>
  <si>
    <t>9109162806160004</t>
  </si>
  <si>
    <t>9109030204940002</t>
  </si>
  <si>
    <t>ELION GWIJANGGE</t>
  </si>
  <si>
    <t>RT 05</t>
  </si>
  <si>
    <t>910903280710003</t>
  </si>
  <si>
    <t>9109030607700001</t>
  </si>
  <si>
    <t>YULI WASAREAK</t>
  </si>
  <si>
    <t>9109034809730001</t>
  </si>
  <si>
    <t>MAGDALENA WASAREAK</t>
  </si>
  <si>
    <t>9109036409980001</t>
  </si>
  <si>
    <t>RIKA WASAREAK</t>
  </si>
  <si>
    <t>KWAMKI LAMA</t>
  </si>
  <si>
    <t>9109162305030001</t>
  </si>
  <si>
    <t>GURANUS UBRUANGGE</t>
  </si>
  <si>
    <t>PARO</t>
  </si>
  <si>
    <t>9109160510030001</t>
  </si>
  <si>
    <t>JASTI WASAREAK</t>
  </si>
  <si>
    <t>9109036403030001</t>
  </si>
  <si>
    <t>ROMINA WASAREAK</t>
  </si>
  <si>
    <t>9109032811060001</t>
  </si>
  <si>
    <t>OSKARBO WASAREAK</t>
  </si>
  <si>
    <t>9109163005170003</t>
  </si>
  <si>
    <t>YOSUA WANDIKBO</t>
  </si>
  <si>
    <t>9109032603120001</t>
  </si>
  <si>
    <t>9109030107800006</t>
  </si>
  <si>
    <t>EMRON GWIJANGGE</t>
  </si>
  <si>
    <t>9109036006850002</t>
  </si>
  <si>
    <t>IMBIRIN NIRIGI</t>
  </si>
  <si>
    <t>9109160712130001</t>
  </si>
  <si>
    <t>FIKTOR GWIJANGGE</t>
  </si>
  <si>
    <t>9109160304160001</t>
  </si>
  <si>
    <t>CIKLI GWIJANGGE</t>
  </si>
  <si>
    <t>9109012605100017</t>
  </si>
  <si>
    <t>9109010201800009</t>
  </si>
  <si>
    <t>ELVIA GWIJANGGE</t>
  </si>
  <si>
    <t>9109015704820004</t>
  </si>
  <si>
    <t>WELINCE WANDIKBO</t>
  </si>
  <si>
    <t>9109016811010003</t>
  </si>
  <si>
    <t>RENITA GWIJANGGE</t>
  </si>
  <si>
    <t>9109011311050004</t>
  </si>
  <si>
    <t>REDINUS GWIJANGGE</t>
  </si>
  <si>
    <t>9109164709100001</t>
  </si>
  <si>
    <t>ERENA GWIJANGGE</t>
  </si>
  <si>
    <t>9109168011170003</t>
  </si>
  <si>
    <t>MELANESIA GWIJANGGE</t>
  </si>
  <si>
    <t>9109010708880003</t>
  </si>
  <si>
    <t>REMES WANDIKBO</t>
  </si>
  <si>
    <t>9109012302910003</t>
  </si>
  <si>
    <t>PERINUS WANDIKBO</t>
  </si>
  <si>
    <t>9109161403190016</t>
  </si>
  <si>
    <t>9109030609880001</t>
  </si>
  <si>
    <t>YULIUS GUJANGGE</t>
  </si>
  <si>
    <t>9109166307990002</t>
  </si>
  <si>
    <t>MARINA NIRIGI</t>
  </si>
  <si>
    <t>9109164307150002</t>
  </si>
  <si>
    <t>YUMELIA A GUJANGGE</t>
  </si>
  <si>
    <t>9109031209110001</t>
  </si>
  <si>
    <t>9109032802790001</t>
  </si>
  <si>
    <t>KELLY GWIJANGGE</t>
  </si>
  <si>
    <t>9109036005830002</t>
  </si>
  <si>
    <t>LONIANA UBRUANGGE</t>
  </si>
  <si>
    <t>9109034805970001</t>
  </si>
  <si>
    <t>IRIANA GWIJANGGE</t>
  </si>
  <si>
    <t>9109037011970001</t>
  </si>
  <si>
    <t>IRA GWIJANGGE</t>
  </si>
  <si>
    <t>9109161105160004</t>
  </si>
  <si>
    <t>GIHON GWIJANGGE</t>
  </si>
  <si>
    <t>9109161211190001</t>
  </si>
  <si>
    <t>9109160408990001</t>
  </si>
  <si>
    <t>NIEL TABUNI</t>
  </si>
  <si>
    <t>9109032607100041</t>
  </si>
  <si>
    <t>9109030402760001</t>
  </si>
  <si>
    <t>SEKARIA WESAREAK</t>
  </si>
  <si>
    <t>9109034502850001</t>
  </si>
  <si>
    <t>TOLITA WANDIKBO</t>
  </si>
  <si>
    <t>9109034602000002</t>
  </si>
  <si>
    <t>MEYA WESAREAK</t>
  </si>
  <si>
    <t>9109034502070001</t>
  </si>
  <si>
    <t>KATNASU WESAREAK</t>
  </si>
  <si>
    <t>9109034304110001</t>
  </si>
  <si>
    <t>RANI WESAREAK</t>
  </si>
  <si>
    <t>9109034108130001</t>
  </si>
  <si>
    <t>PONTIANA WESAREAK</t>
  </si>
  <si>
    <t>9109164606150001</t>
  </si>
  <si>
    <t>JUNISARA ANIS WESAREAK</t>
  </si>
  <si>
    <t>9109032807100014</t>
  </si>
  <si>
    <t>9109031810770003</t>
  </si>
  <si>
    <t>ISKARO WANDIKBO</t>
  </si>
  <si>
    <t>9109034312800001</t>
  </si>
  <si>
    <t>WENUN WANDIKBO</t>
  </si>
  <si>
    <t>9109031304070001</t>
  </si>
  <si>
    <t>BIRIO WANDIKBO</t>
  </si>
  <si>
    <t>9109032406090001</t>
  </si>
  <si>
    <t>INIKSA WANDIKBO</t>
  </si>
  <si>
    <t>9109161910140002</t>
  </si>
  <si>
    <t>AVTER WANDIKBO</t>
  </si>
  <si>
    <t>9404160303230004</t>
  </si>
  <si>
    <t>9109012309020002</t>
  </si>
  <si>
    <t>ROY KOGOYA</t>
  </si>
  <si>
    <t>MINIYEM</t>
  </si>
  <si>
    <t>9109014409050009</t>
  </si>
  <si>
    <t>IRIS WESAREAK</t>
  </si>
  <si>
    <t>9404162711210001</t>
  </si>
  <si>
    <t>KIWENI YONITIUS BENYAMIN</t>
  </si>
  <si>
    <t>9109031907110001</t>
  </si>
  <si>
    <t>9109031606850002</t>
  </si>
  <si>
    <t>OROGGENUS UBURUANGGE</t>
  </si>
  <si>
    <t>9109034103870001</t>
  </si>
  <si>
    <t>DEKA UBURUANGGE</t>
  </si>
  <si>
    <t>KUWIT</t>
  </si>
  <si>
    <t>9109030204990001</t>
  </si>
  <si>
    <t>TATINUS LOKBERE</t>
  </si>
  <si>
    <t>9109030501000001</t>
  </si>
  <si>
    <t>ELVIS NIRIGI</t>
  </si>
  <si>
    <t>9109032206150001</t>
  </si>
  <si>
    <t>9109034806960002</t>
  </si>
  <si>
    <t>YULIANA UBURUANGGE</t>
  </si>
  <si>
    <t>9109164308010001</t>
  </si>
  <si>
    <t>YEMELINA WESAREAK</t>
  </si>
  <si>
    <t>9109164205030001</t>
  </si>
  <si>
    <t>ITAH WESAREAK</t>
  </si>
  <si>
    <t>9109164607050001</t>
  </si>
  <si>
    <t>SALEK WESAREAK</t>
  </si>
  <si>
    <t>9109160504080001</t>
  </si>
  <si>
    <t>PORO WESAREAK</t>
  </si>
  <si>
    <t>9109031412100033</t>
  </si>
  <si>
    <t>9109030909800001</t>
  </si>
  <si>
    <t>ROPIANUS WESAREAK</t>
  </si>
  <si>
    <t>9109030907890002</t>
  </si>
  <si>
    <t>ROITEN WESAREAK</t>
  </si>
  <si>
    <t>9109165604930001</t>
  </si>
  <si>
    <t>GIGANTE WANDIKBO</t>
  </si>
  <si>
    <t>JIGI</t>
  </si>
  <si>
    <t>9109031011010001</t>
  </si>
  <si>
    <t>JAMUS WESAREAK</t>
  </si>
  <si>
    <t>9404160803230002</t>
  </si>
  <si>
    <t>9109160806010001</t>
  </si>
  <si>
    <t>WINTUAN NIRIGI</t>
  </si>
  <si>
    <t>9404164908050001</t>
  </si>
  <si>
    <t>LARIANA WASIANGGE</t>
  </si>
  <si>
    <t>DAGWI</t>
  </si>
  <si>
    <t>9404166901230001</t>
  </si>
  <si>
    <t>PUTRI NESYA FRADELLA NIRIGI</t>
  </si>
  <si>
    <t>9109161606170001</t>
  </si>
  <si>
    <t>7322012601970001</t>
  </si>
  <si>
    <t>RENALDI</t>
  </si>
  <si>
    <t>LARA</t>
  </si>
  <si>
    <t>9109034603990001</t>
  </si>
  <si>
    <t>SURYANTI WANDIKBO</t>
  </si>
  <si>
    <t>9404162805240006</t>
  </si>
  <si>
    <t>9404165310820001</t>
  </si>
  <si>
    <t>AMOKLAK UBRUANGGE</t>
  </si>
  <si>
    <t>DANGIWI</t>
  </si>
  <si>
    <t>9404160101130001</t>
  </si>
  <si>
    <t>GANUS GWIJANGGE</t>
  </si>
  <si>
    <t>9109011406100012</t>
  </si>
  <si>
    <t>9109012707630004</t>
  </si>
  <si>
    <t>YOAS KOGOYA</t>
  </si>
  <si>
    <t>9109016909610001</t>
  </si>
  <si>
    <t>PEREKILA GWIJANGGE</t>
  </si>
  <si>
    <t>9109010607050008</t>
  </si>
  <si>
    <t>RONIUS KOGOYA</t>
  </si>
  <si>
    <t>9109014606050007</t>
  </si>
  <si>
    <t>WESTI KOGOYA</t>
  </si>
  <si>
    <t>9109015603100005</t>
  </si>
  <si>
    <t>UPA INDAH KOGOYA</t>
  </si>
  <si>
    <t>9109012409030005</t>
  </si>
  <si>
    <t>JERI GWIJANGGE</t>
  </si>
  <si>
    <t>MINIEM</t>
  </si>
  <si>
    <t>9109011212110010</t>
  </si>
  <si>
    <t>RINGGANUS GWIJANGGE</t>
  </si>
  <si>
    <t>9109161501180003</t>
  </si>
  <si>
    <t>9109160706990001</t>
  </si>
  <si>
    <t>MITO GWIJANGGE</t>
  </si>
  <si>
    <t>9109032405120001</t>
  </si>
  <si>
    <t>9109010506770011</t>
  </si>
  <si>
    <t>NITANIAS WESAREAK</t>
  </si>
  <si>
    <t>9109014509880003</t>
  </si>
  <si>
    <t>JUTINA NIMIANGGE</t>
  </si>
  <si>
    <t>9109164102070001</t>
  </si>
  <si>
    <t>PARONTI WESAREAK</t>
  </si>
  <si>
    <t>9109165510080001</t>
  </si>
  <si>
    <t>NARKO WESAREAK</t>
  </si>
  <si>
    <t>9109166506130002</t>
  </si>
  <si>
    <t>NATASIA WESAREAK</t>
  </si>
  <si>
    <t>9109010108190002</t>
  </si>
  <si>
    <t>9109032203780001</t>
  </si>
  <si>
    <t>SENANG WANDIKBO</t>
  </si>
  <si>
    <t>9109163005160002</t>
  </si>
  <si>
    <t>YOSUA ERENGENLAK WANDIKBO</t>
  </si>
  <si>
    <t>9109015408970007</t>
  </si>
  <si>
    <t>ELVIANA WESAREAK</t>
  </si>
  <si>
    <t>9109014603050003</t>
  </si>
  <si>
    <t>VEROSILA MBISIKMBO</t>
  </si>
  <si>
    <t>9109160108190008</t>
  </si>
  <si>
    <t>9109031506000001</t>
  </si>
  <si>
    <t>ARLI WANDIKBO</t>
  </si>
  <si>
    <t>9109014106020006</t>
  </si>
  <si>
    <t>MIRI WESAREAK</t>
  </si>
  <si>
    <t>9109166703170001</t>
  </si>
  <si>
    <t>KRISTILIA WANDIKBO</t>
  </si>
  <si>
    <t>9109165703180001</t>
  </si>
  <si>
    <t>NARINA WANDIKBO</t>
  </si>
  <si>
    <t>9109032807100040</t>
  </si>
  <si>
    <t>9109031903580001</t>
  </si>
  <si>
    <t>PAULUS LOKBERE</t>
  </si>
  <si>
    <t>KENJAM</t>
  </si>
  <si>
    <t>9109036111700001</t>
  </si>
  <si>
    <t>JULIANA LOKBERE</t>
  </si>
  <si>
    <t>9109034312930001</t>
  </si>
  <si>
    <t>PASIANA LOKBERE</t>
  </si>
  <si>
    <t>9109037003960001</t>
  </si>
  <si>
    <t>ANI LOKBERE</t>
  </si>
  <si>
    <t>9109031505000001</t>
  </si>
  <si>
    <t>ALI LOKBERE</t>
  </si>
  <si>
    <t>9109166005170002</t>
  </si>
  <si>
    <t>OMELINA LOKBERE</t>
  </si>
  <si>
    <t>9109034808040002</t>
  </si>
  <si>
    <t>NERINA WANDIKBO</t>
  </si>
  <si>
    <t>9109031101060001</t>
  </si>
  <si>
    <t>ALIS WANDIKBO</t>
  </si>
  <si>
    <t>9109030601200001</t>
  </si>
  <si>
    <t>9109030402960002</t>
  </si>
  <si>
    <t>MATIAS GWIJANGGE</t>
  </si>
  <si>
    <t>9109034108940001</t>
  </si>
  <si>
    <t>SENDI KOGOYA</t>
  </si>
  <si>
    <t>9109031110100002</t>
  </si>
  <si>
    <t>9109031205860002</t>
  </si>
  <si>
    <t>TARIUS UBURUANGGE</t>
  </si>
  <si>
    <t>KENEAM</t>
  </si>
  <si>
    <t>9109034402880002</t>
  </si>
  <si>
    <t>HERY GWIJANGGE</t>
  </si>
  <si>
    <t>9109035906020002</t>
  </si>
  <si>
    <t>SERLIN UBURUANGGE</t>
  </si>
  <si>
    <t>9109161003090001</t>
  </si>
  <si>
    <t>DIMAS UBURUANGGE</t>
  </si>
  <si>
    <t>9109162903120001</t>
  </si>
  <si>
    <t>WIRIMIN UBURUANGGE</t>
  </si>
  <si>
    <t>9109166909150001</t>
  </si>
  <si>
    <t>MARIYANTI UBURUANGGE</t>
  </si>
  <si>
    <t>9109161801160006</t>
  </si>
  <si>
    <t>9109160507980001</t>
  </si>
  <si>
    <t>TATUNUD GWIJANGGE</t>
  </si>
  <si>
    <t>9109165805970001</t>
  </si>
  <si>
    <t>MENYA NIRIGI</t>
  </si>
  <si>
    <t>9109160202170005</t>
  </si>
  <si>
    <t>9109161505790001</t>
  </si>
  <si>
    <t>NISS NIRIGI</t>
  </si>
  <si>
    <t>9109164808810001</t>
  </si>
  <si>
    <t>NETY GWIJANGGE</t>
  </si>
  <si>
    <t>9109165210040001</t>
  </si>
  <si>
    <t>9109160701090001</t>
  </si>
  <si>
    <t>WILSON NIRIGI</t>
  </si>
  <si>
    <t>AKONA</t>
  </si>
  <si>
    <t>9109160905120001</t>
  </si>
  <si>
    <t>GESS</t>
  </si>
  <si>
    <t>9109160705210003</t>
  </si>
  <si>
    <t>7102141401760001</t>
  </si>
  <si>
    <t>YANSEN POLOSAKAN</t>
  </si>
  <si>
    <t>TOMOHON</t>
  </si>
  <si>
    <t>RT 06</t>
  </si>
  <si>
    <t>9109031506100007</t>
  </si>
  <si>
    <t>9109030102720002</t>
  </si>
  <si>
    <t xml:space="preserve">ANDI ASIS </t>
  </si>
  <si>
    <t>PELAUT</t>
  </si>
  <si>
    <t>9109035203630001</t>
  </si>
  <si>
    <t>ASEH</t>
  </si>
  <si>
    <t>9109032203020002</t>
  </si>
  <si>
    <t>SONY</t>
  </si>
  <si>
    <t>9109162604210003</t>
  </si>
  <si>
    <t>9109036704790001</t>
  </si>
  <si>
    <t>KARTIAWATI</t>
  </si>
  <si>
    <t>9109031507070001</t>
  </si>
  <si>
    <t>M. SAIFUL RAMDHANI</t>
  </si>
  <si>
    <t>9109031210100001</t>
  </si>
  <si>
    <t>M. RENDI SAPUTRA</t>
  </si>
  <si>
    <t>9404167001240002</t>
  </si>
  <si>
    <t>ADZKIYA LAILA PUTRI</t>
  </si>
  <si>
    <t>KABUPATEN MIMIKA</t>
  </si>
  <si>
    <t>7304032405870003</t>
  </si>
  <si>
    <t>HENDRA IBRAHIM</t>
  </si>
  <si>
    <t>9109032007100010</t>
  </si>
  <si>
    <t>9109033108630001</t>
  </si>
  <si>
    <t>AGUSTINUS SULKAN</t>
  </si>
  <si>
    <t>9109034702720001</t>
  </si>
  <si>
    <t>SRI ARWANAH</t>
  </si>
  <si>
    <t>9109032410960001</t>
  </si>
  <si>
    <t>INAD WASA NUGROHO</t>
  </si>
  <si>
    <t>9109032505990002</t>
  </si>
  <si>
    <t>NOFAN ARBIANTO AJI</t>
  </si>
  <si>
    <t>9109032403090001</t>
  </si>
  <si>
    <t>NAGITA BERTHA KURNIAWAN</t>
  </si>
  <si>
    <t>9109163003190004</t>
  </si>
  <si>
    <t>9109161310650001</t>
  </si>
  <si>
    <t>SYARIF</t>
  </si>
  <si>
    <t>9109162801200002</t>
  </si>
  <si>
    <t>3522162004890005</t>
  </si>
  <si>
    <t>ANDRI SINANTRIA</t>
  </si>
  <si>
    <t>RONOROSO</t>
  </si>
  <si>
    <t>3506175609910005</t>
  </si>
  <si>
    <t>FITRI EKA AYU</t>
  </si>
  <si>
    <t>9109166602200001</t>
  </si>
  <si>
    <t>KAYLA PUTRI NAVISHA</t>
  </si>
  <si>
    <t>9109030205110001</t>
  </si>
  <si>
    <t>9109031610790003</t>
  </si>
  <si>
    <t>ANDI ASWAR</t>
  </si>
  <si>
    <t>9109036502840003</t>
  </si>
  <si>
    <t>KAMANRE</t>
  </si>
  <si>
    <t>9109031110090001</t>
  </si>
  <si>
    <t>ANDI FACHRI TENGKU KIRANA MALLAWA</t>
  </si>
  <si>
    <t>9109031210100002</t>
  </si>
  <si>
    <t>ANDI FATWA CANDRA KIRANA MAKKULAU</t>
  </si>
  <si>
    <t>9109165006180001</t>
  </si>
  <si>
    <t>ANDI QUEENZA RAMADHANI ASWAR</t>
  </si>
  <si>
    <t>7308080107000057</t>
  </si>
  <si>
    <t>ANDI FITRA RAMADHAN</t>
  </si>
  <si>
    <t>PANASA</t>
  </si>
  <si>
    <t>9109031106100008</t>
  </si>
  <si>
    <t>9109030404800001</t>
  </si>
  <si>
    <t>SUYANTO</t>
  </si>
  <si>
    <t>9109036110800001</t>
  </si>
  <si>
    <t>KUMALA KHOSIAH</t>
  </si>
  <si>
    <t>GRESIK</t>
  </si>
  <si>
    <t>9109031510010001</t>
  </si>
  <si>
    <t>MUCHLISIN NALLAHUDI</t>
  </si>
  <si>
    <t>9109036612070001</t>
  </si>
  <si>
    <t>ZAHROTUS SITA</t>
  </si>
  <si>
    <t>9109032105100007</t>
  </si>
  <si>
    <t>9109031506770001</t>
  </si>
  <si>
    <t>BASRI</t>
  </si>
  <si>
    <t>9109035009810001</t>
  </si>
  <si>
    <t>HERLINA</t>
  </si>
  <si>
    <t>9109037005060001</t>
  </si>
  <si>
    <t>HUSNIA</t>
  </si>
  <si>
    <t>9109035608100001</t>
  </si>
  <si>
    <t>AFIFAH RAMADANI</t>
  </si>
  <si>
    <t>9109034804120001</t>
  </si>
  <si>
    <t>AFIKA AFRIANA</t>
  </si>
  <si>
    <t>9109160412170009</t>
  </si>
  <si>
    <t>7310111703870004</t>
  </si>
  <si>
    <t>MURSALIM</t>
  </si>
  <si>
    <t>7310115606970002</t>
  </si>
  <si>
    <t>ARISKA RAMLI</t>
  </si>
  <si>
    <t>9109164212180003</t>
  </si>
  <si>
    <t>PRISA NURUL MUTMAINNA</t>
  </si>
  <si>
    <t>9109162505200002</t>
  </si>
  <si>
    <t>MUHAMMAD RAFAN FILARDHA</t>
  </si>
  <si>
    <t>9109031707100022</t>
  </si>
  <si>
    <t>9109032004650001</t>
  </si>
  <si>
    <t>MULYONO</t>
  </si>
  <si>
    <t>MAGETAN</t>
  </si>
  <si>
    <t>9109034408750001</t>
  </si>
  <si>
    <t>ANING WINARNI</t>
  </si>
  <si>
    <t>9109030303070001</t>
  </si>
  <si>
    <t>MUHAMMAD TRI ANTONI</t>
  </si>
  <si>
    <t>9109032605140001</t>
  </si>
  <si>
    <t>MOH. ARI PRASETYO</t>
  </si>
  <si>
    <t>9109030601110004</t>
  </si>
  <si>
    <t>9109031707790001</t>
  </si>
  <si>
    <t>FAISAL ASIS</t>
  </si>
  <si>
    <t>7310115401940002</t>
  </si>
  <si>
    <t>NURHIDAYA</t>
  </si>
  <si>
    <t>PALEMBA</t>
  </si>
  <si>
    <t>9109166905130001</t>
  </si>
  <si>
    <t>NASWA NUR AYLA</t>
  </si>
  <si>
    <t>LOKAE</t>
  </si>
  <si>
    <t>9109164810160001</t>
  </si>
  <si>
    <t>AYRA SYAHRAINI FAISAL</t>
  </si>
  <si>
    <t>9109164905100004</t>
  </si>
  <si>
    <t>AISYAH KHUMAIRA FAISAL</t>
  </si>
  <si>
    <t>9109160504220008</t>
  </si>
  <si>
    <t>9109033007800001</t>
  </si>
  <si>
    <t>AGUS KURNIAWAN</t>
  </si>
  <si>
    <t>3515026012900002</t>
  </si>
  <si>
    <t xml:space="preserve">NIKEN AYU MAWARTI </t>
  </si>
  <si>
    <t>9109160111200002</t>
  </si>
  <si>
    <t>EL NATHAN GATRA KURNIAWAN</t>
  </si>
  <si>
    <t>9109032703110006</t>
  </si>
  <si>
    <t>9109031105820002</t>
  </si>
  <si>
    <t>MUH. BASRI</t>
  </si>
  <si>
    <t>9109035505810003</t>
  </si>
  <si>
    <t>ERNAWATI</t>
  </si>
  <si>
    <t>9109150205120002</t>
  </si>
  <si>
    <t>SELO PRATAMA</t>
  </si>
  <si>
    <t>9109151009170002</t>
  </si>
  <si>
    <t>AZAM AZRIL</t>
  </si>
  <si>
    <t>9109031707100016</t>
  </si>
  <si>
    <t>9109031309750001</t>
  </si>
  <si>
    <t>ABD TAHIR</t>
  </si>
  <si>
    <t>PINRANG</t>
  </si>
  <si>
    <t>9109035202760002</t>
  </si>
  <si>
    <t>INDRA WATI</t>
  </si>
  <si>
    <t>9109037012990002</t>
  </si>
  <si>
    <t>9109034209060001</t>
  </si>
  <si>
    <t>ANIZAH TAHIR</t>
  </si>
  <si>
    <t>9109163105200002</t>
  </si>
  <si>
    <t>M. RISKY</t>
  </si>
  <si>
    <t>9109030208100017</t>
  </si>
  <si>
    <t>9109030909750002</t>
  </si>
  <si>
    <t>AKIS NUDDIN</t>
  </si>
  <si>
    <t>9109035301690001</t>
  </si>
  <si>
    <t>SUTIKAH</t>
  </si>
  <si>
    <t>BLITAR</t>
  </si>
  <si>
    <t>9109030610980001</t>
  </si>
  <si>
    <t>ANDRI SUPYANTO</t>
  </si>
  <si>
    <t>9109036110000002</t>
  </si>
  <si>
    <t>NURUL KHOTIMAH</t>
  </si>
  <si>
    <t>9109031811080001</t>
  </si>
  <si>
    <t>MOH. SYOLEKHUDIN</t>
  </si>
  <si>
    <t>9109031506100008</t>
  </si>
  <si>
    <t>9109032401730001</t>
  </si>
  <si>
    <t>MUH NASIR</t>
  </si>
  <si>
    <t>MA'RANG</t>
  </si>
  <si>
    <t>9109034802800002</t>
  </si>
  <si>
    <t>NURHAYANI</t>
  </si>
  <si>
    <t>9109030901990002</t>
  </si>
  <si>
    <t>IRYADI FERDIANSYAH</t>
  </si>
  <si>
    <t>9109035912010002</t>
  </si>
  <si>
    <t>IRFA ROSTIANI</t>
  </si>
  <si>
    <t>9109030502060002</t>
  </si>
  <si>
    <t>IRHAM ARISANDI</t>
  </si>
  <si>
    <t>9109030410140001</t>
  </si>
  <si>
    <t>IRSYAD MUHAMMAD ARAFAH</t>
  </si>
  <si>
    <t>9109165109190002</t>
  </si>
  <si>
    <t>IRGAHAYU ZAHRATUL MAGFIRAH</t>
  </si>
  <si>
    <t>9109030104100002</t>
  </si>
  <si>
    <t>9109031808730001</t>
  </si>
  <si>
    <t>SAGUNI</t>
  </si>
  <si>
    <t>MA'RANG PANGKEP</t>
  </si>
  <si>
    <t>9109034407930001</t>
  </si>
  <si>
    <t>NURHAYATI</t>
  </si>
  <si>
    <t>ATTASALO</t>
  </si>
  <si>
    <t>9109037009110001</t>
  </si>
  <si>
    <t>NURUL AZMI SAGUNI</t>
  </si>
  <si>
    <t>9109166205200001</t>
  </si>
  <si>
    <t>ARMY NUSA RAMDHANTY</t>
  </si>
  <si>
    <t>9109162707180015</t>
  </si>
  <si>
    <t>7405090101780001</t>
  </si>
  <si>
    <t>SAPRIL</t>
  </si>
  <si>
    <t>LAMBANGI</t>
  </si>
  <si>
    <t>9109166912820002</t>
  </si>
  <si>
    <t>MULAN SAHRONI</t>
  </si>
  <si>
    <t>9109164110180001</t>
  </si>
  <si>
    <t>KIRANA ZAHWA</t>
  </si>
  <si>
    <t>9109092508110010</t>
  </si>
  <si>
    <t>9109091508850002</t>
  </si>
  <si>
    <t>MARMIN SUHENDRA</t>
  </si>
  <si>
    <t>9109095405890002</t>
  </si>
  <si>
    <t>MUTHOMIMAH</t>
  </si>
  <si>
    <t>9109011108140009</t>
  </si>
  <si>
    <t>9109012804820007</t>
  </si>
  <si>
    <t>HAIDAL</t>
  </si>
  <si>
    <t>9109162701220007</t>
  </si>
  <si>
    <t>7371095806900004</t>
  </si>
  <si>
    <t>SRI RUGAYATI</t>
  </si>
  <si>
    <t>9109012804210010</t>
  </si>
  <si>
    <t>9109035708870001</t>
  </si>
  <si>
    <t>ITA PURWANSIH</t>
  </si>
  <si>
    <t>9109166108180002</t>
  </si>
  <si>
    <t>KAMASEAN DEANDRA LUZIQ</t>
  </si>
  <si>
    <t>9109032911110001</t>
  </si>
  <si>
    <t>9109031207770002</t>
  </si>
  <si>
    <t>MUKHTAROM</t>
  </si>
  <si>
    <t>9109035812690001</t>
  </si>
  <si>
    <t>HARTATIK</t>
  </si>
  <si>
    <t>9109165612180001</t>
  </si>
  <si>
    <t>VRASISCA CITRA HARTATIK</t>
  </si>
  <si>
    <t>9109161304210005</t>
  </si>
  <si>
    <t>9109035208770001</t>
  </si>
  <si>
    <t>MIA</t>
  </si>
  <si>
    <t>9109031006140002</t>
  </si>
  <si>
    <t>9109031308730001</t>
  </si>
  <si>
    <t>WAWANTORO</t>
  </si>
  <si>
    <t>9109035907690001</t>
  </si>
  <si>
    <t>SRI ANITA REMI</t>
  </si>
  <si>
    <t>9109010905190020</t>
  </si>
  <si>
    <t>7326092801790001</t>
  </si>
  <si>
    <t>ARI PETRUS PANIMBA</t>
  </si>
  <si>
    <t>TIKALA</t>
  </si>
  <si>
    <t>9109162803180013</t>
  </si>
  <si>
    <t>9109034108850002</t>
  </si>
  <si>
    <t>NGANJUK</t>
  </si>
  <si>
    <t>9404166811190001</t>
  </si>
  <si>
    <t>AULIYA</t>
  </si>
  <si>
    <t>9109161303190028</t>
  </si>
  <si>
    <t>9109036308670001</t>
  </si>
  <si>
    <t>KASTI</t>
  </si>
  <si>
    <t>9109032704960002</t>
  </si>
  <si>
    <t>RIDWAN SATRIO</t>
  </si>
  <si>
    <t>9109032502000002</t>
  </si>
  <si>
    <t>RIZAL ARI WIBOWO</t>
  </si>
  <si>
    <t>8203111705170002</t>
  </si>
  <si>
    <t>8203110506821001</t>
  </si>
  <si>
    <t>LA MADI</t>
  </si>
  <si>
    <t>8203114501891001</t>
  </si>
  <si>
    <t>ACIK MANSUR RATNASARI</t>
  </si>
  <si>
    <t>8203115910020001</t>
  </si>
  <si>
    <t>MIA SASMITA</t>
  </si>
  <si>
    <t>PEMANGKAT</t>
  </si>
  <si>
    <t>8203114512120001</t>
  </si>
  <si>
    <t>DESVITA INDASARI</t>
  </si>
  <si>
    <t>WOSIA</t>
  </si>
  <si>
    <t>8203111205170001</t>
  </si>
  <si>
    <t>DESTA ABDULLAH</t>
  </si>
  <si>
    <t>8203115707910003</t>
  </si>
  <si>
    <t>SAMINATI</t>
  </si>
  <si>
    <t>8203110707990004</t>
  </si>
  <si>
    <t>ANWAR</t>
  </si>
  <si>
    <t>8203111503030008</t>
  </si>
  <si>
    <t>MARTIO MUHARYANTO</t>
  </si>
  <si>
    <t>9109031205220001</t>
  </si>
  <si>
    <t>7310114108730001</t>
  </si>
  <si>
    <t>HASNAH</t>
  </si>
  <si>
    <t>9109034109110001</t>
  </si>
  <si>
    <t>NUR AZIZAH AMELIA</t>
  </si>
  <si>
    <t>9109033105150001</t>
  </si>
  <si>
    <t>9109034611600002</t>
  </si>
  <si>
    <t>KASTIANA</t>
  </si>
  <si>
    <t>9109030311860001</t>
  </si>
  <si>
    <t>MOCH. EFENDI</t>
  </si>
  <si>
    <t>9109030812010001</t>
  </si>
  <si>
    <t>HARI KUSWANTO</t>
  </si>
  <si>
    <t>9109030605100001</t>
  </si>
  <si>
    <t>9109030710600001</t>
  </si>
  <si>
    <t>SYARIFUDDIN</t>
  </si>
  <si>
    <t>9109034605690001</t>
  </si>
  <si>
    <t>FATMAWATI</t>
  </si>
  <si>
    <t>9109032901970001</t>
  </si>
  <si>
    <t>BURHAN</t>
  </si>
  <si>
    <t>9109035107060001</t>
  </si>
  <si>
    <t>RAHMAH RAODATULJANNAH</t>
  </si>
  <si>
    <t>9109031301080001</t>
  </si>
  <si>
    <t>RIFKY FEBRIAN</t>
  </si>
  <si>
    <t>9109032007100003</t>
  </si>
  <si>
    <t>9109036212660001</t>
  </si>
  <si>
    <t>9109036203980001</t>
  </si>
  <si>
    <t>NURLAELI HIDAYAH</t>
  </si>
  <si>
    <t>9109012906100164</t>
  </si>
  <si>
    <t>9109011512770007</t>
  </si>
  <si>
    <t>GURDIN</t>
  </si>
  <si>
    <t>KENDARI</t>
  </si>
  <si>
    <t>9109035607780001</t>
  </si>
  <si>
    <t>WATINI</t>
  </si>
  <si>
    <t>9109032007100002</t>
  </si>
  <si>
    <t>9109030502750001</t>
  </si>
  <si>
    <t>ALIAS RENIA</t>
  </si>
  <si>
    <t>TUKANG KAYU</t>
  </si>
  <si>
    <t>9109035212740001</t>
  </si>
  <si>
    <t>SUWARTI</t>
  </si>
  <si>
    <t>9109030604100002</t>
  </si>
  <si>
    <t>9109031003790001</t>
  </si>
  <si>
    <t>SUNARTO</t>
  </si>
  <si>
    <t>9109035802820001</t>
  </si>
  <si>
    <t>SUMIYATI</t>
  </si>
  <si>
    <t>9109036801040001</t>
  </si>
  <si>
    <t>PUTRI WULANDARI</t>
  </si>
  <si>
    <t>9109035412120001</t>
  </si>
  <si>
    <t>NARAYA NURMALA</t>
  </si>
  <si>
    <t>9109032308130002</t>
  </si>
  <si>
    <t>9109032011650002</t>
  </si>
  <si>
    <t>SUPOYO</t>
  </si>
  <si>
    <t>9109036711630002</t>
  </si>
  <si>
    <t>BADRIATUN</t>
  </si>
  <si>
    <t>9109032311830002</t>
  </si>
  <si>
    <t>EKO SUTEKO</t>
  </si>
  <si>
    <t>DILLI</t>
  </si>
  <si>
    <t>9109031707100012</t>
  </si>
  <si>
    <t>9109030508780001</t>
  </si>
  <si>
    <t>IWAN SETIAWAN</t>
  </si>
  <si>
    <t>9109024504770001</t>
  </si>
  <si>
    <t>MURYATI</t>
  </si>
  <si>
    <t>9109035306100001</t>
  </si>
  <si>
    <t>MILLA IRJAYANTI</t>
  </si>
  <si>
    <t>9109162409180008</t>
  </si>
  <si>
    <t>9109035808840002</t>
  </si>
  <si>
    <t>AYU ANDIRA</t>
  </si>
  <si>
    <t>9109164503190004</t>
  </si>
  <si>
    <t>IFA ASTILA RAFA</t>
  </si>
  <si>
    <t>9109013009100008</t>
  </si>
  <si>
    <t>9109012007710007</t>
  </si>
  <si>
    <t>AGUS</t>
  </si>
  <si>
    <t>9109036410870001</t>
  </si>
  <si>
    <t>TUTI</t>
  </si>
  <si>
    <t>AMASIN KOTA</t>
  </si>
  <si>
    <t>9109011805020009</t>
  </si>
  <si>
    <t>PATUR RAHMAN</t>
  </si>
  <si>
    <t>9109161111050001</t>
  </si>
  <si>
    <t>PUTRA</t>
  </si>
  <si>
    <t>9109014910090007</t>
  </si>
  <si>
    <t>YOLANDA</t>
  </si>
  <si>
    <t>9109161808130002</t>
  </si>
  <si>
    <t>RANGGA GUSTI</t>
  </si>
  <si>
    <t>9109161106170001</t>
  </si>
  <si>
    <t>PARIS DWI RAMADHAN</t>
  </si>
  <si>
    <t>9109161001200004</t>
  </si>
  <si>
    <t>7310111509770001</t>
  </si>
  <si>
    <t>JUSMAN</t>
  </si>
  <si>
    <t>7310115212800006</t>
  </si>
  <si>
    <t>JUMRIANI</t>
  </si>
  <si>
    <t>MANDALLE</t>
  </si>
  <si>
    <t>7310116707050002</t>
  </si>
  <si>
    <t>YULIANTI</t>
  </si>
  <si>
    <t>7310110909060002</t>
  </si>
  <si>
    <t>RAHMAT HIDAYATTULLAH</t>
  </si>
  <si>
    <t>9109160609160009</t>
  </si>
  <si>
    <t>3523170506580001</t>
  </si>
  <si>
    <t>SUKIMAN</t>
  </si>
  <si>
    <t>3523175407660001</t>
  </si>
  <si>
    <t>SRIATUN</t>
  </si>
  <si>
    <t>3523171604000004</t>
  </si>
  <si>
    <t>M. FAHRUL ULUM</t>
  </si>
  <si>
    <t>9109033010140002</t>
  </si>
  <si>
    <t>9109031805830001</t>
  </si>
  <si>
    <t>LUKMAN</t>
  </si>
  <si>
    <t>9109035808780002</t>
  </si>
  <si>
    <t>YUNI SARI</t>
  </si>
  <si>
    <t>9109034809130001</t>
  </si>
  <si>
    <t>NUR CAHAYA ISTIQAMAH</t>
  </si>
  <si>
    <t>9109161103190001</t>
  </si>
  <si>
    <t>BINTANG PRATAMA</t>
  </si>
  <si>
    <t>9109162803180001</t>
  </si>
  <si>
    <t>9109035204700001</t>
  </si>
  <si>
    <t>HARIANI</t>
  </si>
  <si>
    <t>9109161308170002</t>
  </si>
  <si>
    <t>M. TEGAR WIBISONO</t>
  </si>
  <si>
    <t>9109030208100023</t>
  </si>
  <si>
    <t>9109030102710001</t>
  </si>
  <si>
    <t>MUJIONO</t>
  </si>
  <si>
    <t>9109034606790001</t>
  </si>
  <si>
    <t>DARMIASIH</t>
  </si>
  <si>
    <t>9109030209980001</t>
  </si>
  <si>
    <t>CHOIRUL UMAM</t>
  </si>
  <si>
    <t>9109030807110002</t>
  </si>
  <si>
    <t>BARIQ SAIFUL RAFIF</t>
  </si>
  <si>
    <t>9109160402160013</t>
  </si>
  <si>
    <t>9109032805750001</t>
  </si>
  <si>
    <t>MARDIYOSO</t>
  </si>
  <si>
    <t>9109034705800001</t>
  </si>
  <si>
    <t>ENI PRABAWATI</t>
  </si>
  <si>
    <t>9109032705100002</t>
  </si>
  <si>
    <t>9109031802570001</t>
  </si>
  <si>
    <t>RAHIM. S</t>
  </si>
  <si>
    <t>9109035812750001</t>
  </si>
  <si>
    <t>HARTATI</t>
  </si>
  <si>
    <t>9109030404840001</t>
  </si>
  <si>
    <t>RACHMAT SAMUDRA</t>
  </si>
  <si>
    <t>9109033101910001</t>
  </si>
  <si>
    <t>SADDAM HUSAIN</t>
  </si>
  <si>
    <t>LOEA KOLAKA</t>
  </si>
  <si>
    <t>9109030404010001</t>
  </si>
  <si>
    <t>ANDHIKA SAMUDERA</t>
  </si>
  <si>
    <t>9201072704690001</t>
  </si>
  <si>
    <t>DG MATASA</t>
  </si>
  <si>
    <t>BIRA</t>
  </si>
  <si>
    <t>9109030107780001</t>
  </si>
  <si>
    <t>KASWIN</t>
  </si>
  <si>
    <t>9109030707880001</t>
  </si>
  <si>
    <t>ARJUS SAPUTRA</t>
  </si>
  <si>
    <t>9109032302920001</t>
  </si>
  <si>
    <t>RENDY ALFIAN</t>
  </si>
  <si>
    <t>BALA BATU</t>
  </si>
  <si>
    <t>7302042408990003</t>
  </si>
  <si>
    <t>RESKI WAHYUDI</t>
  </si>
  <si>
    <t>SAMBOANG</t>
  </si>
  <si>
    <t>9109031506100003</t>
  </si>
  <si>
    <t>9109032706730001</t>
  </si>
  <si>
    <t>M. AMLAN</t>
  </si>
  <si>
    <t>9109035101690002</t>
  </si>
  <si>
    <t>MARNI</t>
  </si>
  <si>
    <t>9109032306010001</t>
  </si>
  <si>
    <t>ANANDA MIKOLA</t>
  </si>
  <si>
    <t>9109162901190009</t>
  </si>
  <si>
    <t>9171021003800005</t>
  </si>
  <si>
    <t>SETIA BUDI DARSANA</t>
  </si>
  <si>
    <t>TNI</t>
  </si>
  <si>
    <t>9171024107810025</t>
  </si>
  <si>
    <t>IKE NARDANI SETYANINGRUM</t>
  </si>
  <si>
    <t>9171025407070007</t>
  </si>
  <si>
    <t>IYANA SETIANI GHERIYA R.P</t>
  </si>
  <si>
    <t>9109162803180003</t>
  </si>
  <si>
    <t>9109035005800003</t>
  </si>
  <si>
    <t>RIRIN. M</t>
  </si>
  <si>
    <t>9109031506100004</t>
  </si>
  <si>
    <t>9109031707530001</t>
  </si>
  <si>
    <t>TARSUM</t>
  </si>
  <si>
    <t>BANYUMAS</t>
  </si>
  <si>
    <t>9109035203570001</t>
  </si>
  <si>
    <t>KINAH</t>
  </si>
  <si>
    <t>9109162803180002</t>
  </si>
  <si>
    <t>9109010707970004</t>
  </si>
  <si>
    <t>ISKANDAR ISHAK</t>
  </si>
  <si>
    <t>9109036212970001</t>
  </si>
  <si>
    <t>SHERLI IRIANTI</t>
  </si>
  <si>
    <t>9109160301160001</t>
  </si>
  <si>
    <t>MUHAMMAD RAKA SAPUTRA</t>
  </si>
  <si>
    <t>9109163103180001</t>
  </si>
  <si>
    <t>SULTAN ISKANDAR ISHAK</t>
  </si>
  <si>
    <t>9109011607190022</t>
  </si>
  <si>
    <t>9109030305790001</t>
  </si>
  <si>
    <t>JUFRI</t>
  </si>
  <si>
    <t>9109035105760002</t>
  </si>
  <si>
    <t>TATIK SARIATI</t>
  </si>
  <si>
    <t>9109031907910001</t>
  </si>
  <si>
    <t>AWIT JULIANTO</t>
  </si>
  <si>
    <t>9109031008010001</t>
  </si>
  <si>
    <t>MUHAMMAD AGUS SANTOSO</t>
  </si>
  <si>
    <t>9109032104120001</t>
  </si>
  <si>
    <t>MUHAMMAD AHZAM ARIFKA</t>
  </si>
  <si>
    <t>9109032406100009</t>
  </si>
  <si>
    <t>9109033112770002</t>
  </si>
  <si>
    <t>SAENAL ABIDING</t>
  </si>
  <si>
    <t>7371074907780009</t>
  </si>
  <si>
    <t>PARIDA. R</t>
  </si>
  <si>
    <t>9109030805000002</t>
  </si>
  <si>
    <t>AHMAD SULFAJRIZAL</t>
  </si>
  <si>
    <t>7371070711160003</t>
  </si>
  <si>
    <t>FAHRUL ABIDING</t>
  </si>
  <si>
    <t>9109161312190002</t>
  </si>
  <si>
    <t>FARHAM ABIDING</t>
  </si>
  <si>
    <t>9109162305170039</t>
  </si>
  <si>
    <t>3522044604800001</t>
  </si>
  <si>
    <t>DWI APRIANI</t>
  </si>
  <si>
    <t>9109032812020001</t>
  </si>
  <si>
    <t>BAYU MAULANA</t>
  </si>
  <si>
    <t>9109030107100003</t>
  </si>
  <si>
    <t>DHAFA ARJUNA PUTRA</t>
  </si>
  <si>
    <t>9109162807170004</t>
  </si>
  <si>
    <t>MUHAMMAD DARUL FALAH</t>
  </si>
  <si>
    <t>9404162710230002</t>
  </si>
  <si>
    <t>7310111105910002</t>
  </si>
  <si>
    <t>WAHYUDHIN RHAZUL</t>
  </si>
  <si>
    <t>8171027006880002</t>
  </si>
  <si>
    <t>ATY MAMBO</t>
  </si>
  <si>
    <t>9404165505240005</t>
  </si>
  <si>
    <t>ALESHA AGHNIA RHAZUL</t>
  </si>
  <si>
    <t>9109010111100084</t>
  </si>
  <si>
    <t>9109010307700005</t>
  </si>
  <si>
    <t>RITINUS TABUNI</t>
  </si>
  <si>
    <t>KENEYAN</t>
  </si>
  <si>
    <t>PETANI/PEKEBUN</t>
  </si>
  <si>
    <t>RT 07</t>
  </si>
  <si>
    <t>9109014206810002</t>
  </si>
  <si>
    <t>FRANSINA LOKBERE</t>
  </si>
  <si>
    <t>KENEYAN NBUA</t>
  </si>
  <si>
    <t>MENGURUS RUMAH TANGGA</t>
  </si>
  <si>
    <t>9109011409890006</t>
  </si>
  <si>
    <t>LENTINUS TABUNI</t>
  </si>
  <si>
    <t>MBUA</t>
  </si>
  <si>
    <t>9109011407020010</t>
  </si>
  <si>
    <t>DEMIRA TABUNI</t>
  </si>
  <si>
    <t>9109011407060006</t>
  </si>
  <si>
    <t>LENIUS TABUNI</t>
  </si>
  <si>
    <t>9109011407060007</t>
  </si>
  <si>
    <t>ETEPEN TABUNI</t>
  </si>
  <si>
    <t>9109010503090007</t>
  </si>
  <si>
    <t>RIDO TABUNI</t>
  </si>
  <si>
    <t>9109164511110002</t>
  </si>
  <si>
    <t>UNI TABUNI</t>
  </si>
  <si>
    <t>9109160610130002</t>
  </si>
  <si>
    <t>MELIANUS TABUNI</t>
  </si>
  <si>
    <t>9109162502180001</t>
  </si>
  <si>
    <t>RIO TABUNI</t>
  </si>
  <si>
    <t>9109013007100097</t>
  </si>
  <si>
    <t>9109093006050003</t>
  </si>
  <si>
    <t>ANDERSON NIRIGI</t>
  </si>
  <si>
    <t>KRIS TEN</t>
  </si>
  <si>
    <t>9109095812070002</t>
  </si>
  <si>
    <t>ANNA CHRISNA NIRIGI</t>
  </si>
  <si>
    <t>9109091812070003</t>
  </si>
  <si>
    <t>UME CHRISTIAN NIRIGI</t>
  </si>
  <si>
    <t>9109161709210006</t>
  </si>
  <si>
    <t>9109010504970011</t>
  </si>
  <si>
    <t>MATIUS GWIJANGGE</t>
  </si>
  <si>
    <t>KOGEA</t>
  </si>
  <si>
    <t>9124094704940002</t>
  </si>
  <si>
    <t>NOTE KOGOYA</t>
  </si>
  <si>
    <t>KOMOROWAM</t>
  </si>
  <si>
    <t>9124090208040001</t>
  </si>
  <si>
    <t>AINUS KOGOYA</t>
  </si>
  <si>
    <t>9124090405090001</t>
  </si>
  <si>
    <t>ROBY NIRIGI</t>
  </si>
  <si>
    <t>9124094206110001</t>
  </si>
  <si>
    <t>ROBINA NIRIGI</t>
  </si>
  <si>
    <t>9109032306100003</t>
  </si>
  <si>
    <t>9109031108630001</t>
  </si>
  <si>
    <t>YUREN GWIJANGGE</t>
  </si>
  <si>
    <t>KOROPTAK</t>
  </si>
  <si>
    <t>9109035106700001</t>
  </si>
  <si>
    <t>MARTINA GWIJANGGE</t>
  </si>
  <si>
    <t>9109036712930001</t>
  </si>
  <si>
    <t>INCE GWIJANGGE</t>
  </si>
  <si>
    <t>KOROTAK</t>
  </si>
  <si>
    <t>9109032412950001</t>
  </si>
  <si>
    <t>MITANUS GWIJANGGE</t>
  </si>
  <si>
    <t>9109166208980001</t>
  </si>
  <si>
    <t>KWAMINAK GWIJANGGE</t>
  </si>
  <si>
    <t>9109166912050001</t>
  </si>
  <si>
    <t>MERINCE GWIJANGGE</t>
  </si>
  <si>
    <t>9109032205090001</t>
  </si>
  <si>
    <t>ETINUS GWIJANGGE</t>
  </si>
  <si>
    <t>9109161606000001</t>
  </si>
  <si>
    <t>EBENUS GWIJANGGE</t>
  </si>
  <si>
    <t>9109160809090001</t>
  </si>
  <si>
    <t>ANNIS GWIJANGGE</t>
  </si>
  <si>
    <t>9109011909130009</t>
  </si>
  <si>
    <t>9109011203710007</t>
  </si>
  <si>
    <t>NOWENAK GWIJANGGE</t>
  </si>
  <si>
    <t>9109015106720008</t>
  </si>
  <si>
    <t>YAKOPA NIRIGI</t>
  </si>
  <si>
    <t>9109015307890006</t>
  </si>
  <si>
    <t>DORO GWIJANGGE</t>
  </si>
  <si>
    <t>9109010205020011</t>
  </si>
  <si>
    <t>OBENSUA GWIJANGGE</t>
  </si>
  <si>
    <t>MENEYEM</t>
  </si>
  <si>
    <t>9109160507070001</t>
  </si>
  <si>
    <t>LINA GWIJANGGE</t>
  </si>
  <si>
    <t>MENEYAM</t>
  </si>
  <si>
    <t>9109160405210006</t>
  </si>
  <si>
    <t>9109160107700001</t>
  </si>
  <si>
    <t>MELUS GWIJANGGE</t>
  </si>
  <si>
    <t>DUGAMA</t>
  </si>
  <si>
    <t>9109010701720006</t>
  </si>
  <si>
    <t>YOHANES GWIJANGGE</t>
  </si>
  <si>
    <t>LAKI-LAKI·</t>
  </si>
  <si>
    <t>9109017107740002</t>
  </si>
  <si>
    <t>ELSINA KOGEYA</t>
  </si>
  <si>
    <t>MAKHY</t>
  </si>
  <si>
    <t>9109011704970002</t>
  </si>
  <si>
    <t>M JEFFRY GWIJANGGE</t>
  </si>
  <si>
    <t>9109010306990009</t>
  </si>
  <si>
    <t>JECKSON GWIJANGGE</t>
  </si>
  <si>
    <t>9109017012990002</t>
  </si>
  <si>
    <t>DENICE GWIJANGGE</t>
  </si>
  <si>
    <t>9109010505000013</t>
  </si>
  <si>
    <t>YOSIA GWIJANGGE</t>
  </si>
  <si>
    <t>9109014503050012</t>
  </si>
  <si>
    <t>PESMINA GWIJANGGE</t>
  </si>
  <si>
    <t>9109015105090007</t>
  </si>
  <si>
    <t>NITE GWIJANGGE</t>
  </si>
  <si>
    <t>9109096904010002</t>
  </si>
  <si>
    <t>KRISDAYANTI NIRIGI</t>
  </si>
  <si>
    <t>9109096605020001</t>
  </si>
  <si>
    <t>ROSDIANA NIRIGI</t>
  </si>
  <si>
    <t>KUALA KENCANA</t>
  </si>
  <si>
    <t>9109162606180004</t>
  </si>
  <si>
    <t>9109164807920001</t>
  </si>
  <si>
    <t>TIPIPINA GWIYANGGE</t>
  </si>
  <si>
    <t>KOMOROAM</t>
  </si>
  <si>
    <t>9109161204120001</t>
  </si>
  <si>
    <t>ROBI NIRIGI</t>
  </si>
  <si>
    <t>9109166512130001</t>
  </si>
  <si>
    <t>9109161807170024</t>
  </si>
  <si>
    <t>9109165808860001</t>
  </si>
  <si>
    <t xml:space="preserve">MINCE NIRIGI </t>
  </si>
  <si>
    <t>9109166202090002</t>
  </si>
  <si>
    <t>LANA MARIA SUSANA GWIJANGGE</t>
  </si>
  <si>
    <t>WAMENA</t>
  </si>
  <si>
    <t>9109166202090001</t>
  </si>
  <si>
    <t>LENI LENORA SUSANTI GWJANGGE</t>
  </si>
  <si>
    <t>9404160202240005</t>
  </si>
  <si>
    <t>9404160612940001</t>
  </si>
  <si>
    <t>JEKARIUS LOKBERE</t>
  </si>
  <si>
    <t>BUA</t>
  </si>
  <si>
    <t>9404160205180001</t>
  </si>
  <si>
    <t>GGAT LOKBERE</t>
  </si>
  <si>
    <t>NBUA</t>
  </si>
  <si>
    <t>9404164307200001</t>
  </si>
  <si>
    <t>EKA LOKBERE</t>
  </si>
  <si>
    <t>9404164806230001</t>
  </si>
  <si>
    <t>SOPIA LOKBERE</t>
  </si>
  <si>
    <t>9404164508990001</t>
  </si>
  <si>
    <t>TEMINA TABUNI</t>
  </si>
  <si>
    <t>SUSANIGI</t>
  </si>
  <si>
    <t>9404162006240004</t>
  </si>
  <si>
    <t>BELUMTIDAK BEKERJA</t>
  </si>
  <si>
    <t>9124016303900001</t>
  </si>
  <si>
    <t>PETROSIA KOGEYA</t>
  </si>
  <si>
    <t>9124095908170001</t>
  </si>
  <si>
    <t>LAILA FREDDELA GWIJANGGE</t>
  </si>
  <si>
    <t>9124096105200001</t>
  </si>
  <si>
    <t>BECCA ADRIELA GWIJANGGE</t>
  </si>
  <si>
    <t>PEREMPLIAN</t>
  </si>
  <si>
    <t>9404166103220002</t>
  </si>
  <si>
    <t>SARAH OKTOVINA GWIJANGGE</t>
  </si>
  <si>
    <t>9109090510180008</t>
  </si>
  <si>
    <t>9109091005650001</t>
  </si>
  <si>
    <t>JAMAL</t>
  </si>
  <si>
    <t>9109034510720001</t>
  </si>
  <si>
    <t>SANIA</t>
  </si>
  <si>
    <t>9109090106030001</t>
  </si>
  <si>
    <t>9109096006060002</t>
  </si>
  <si>
    <t>SELPI</t>
  </si>
  <si>
    <t>9109165212130002</t>
  </si>
  <si>
    <t>NUR AISYAH</t>
  </si>
  <si>
    <t>9109163108210004</t>
  </si>
  <si>
    <t>9109164705900001</t>
  </si>
  <si>
    <t>KOLETA WAYAWIYUTA</t>
  </si>
  <si>
    <t>KEKWA</t>
  </si>
  <si>
    <t>9109165511120002</t>
  </si>
  <si>
    <t>MERRY AUDRIA GWIJANGGE</t>
  </si>
  <si>
    <t>9109160301140002</t>
  </si>
  <si>
    <t>AKIM BONDI GWIJANGGE</t>
  </si>
  <si>
    <t>9109162512150002</t>
  </si>
  <si>
    <t>TEDI DANIEL SOEKARNO GWIJANGGE</t>
  </si>
  <si>
    <t>BELUMATIDAK BEKERJA</t>
  </si>
  <si>
    <t>9109010707100098</t>
  </si>
  <si>
    <t>9109010901330001</t>
  </si>
  <si>
    <t>ASIR</t>
  </si>
  <si>
    <t>BURUH TANI/PERKEBUNAN</t>
  </si>
  <si>
    <t>9109016708540001</t>
  </si>
  <si>
    <t>9124012010180004</t>
  </si>
  <si>
    <t>9109011702910003</t>
  </si>
  <si>
    <t>ANIUS KOGOYA</t>
  </si>
  <si>
    <t>9124014812980002</t>
  </si>
  <si>
    <t>GALIMINA WASIANGGE</t>
  </si>
  <si>
    <t>BIRIBEM</t>
  </si>
  <si>
    <t>9124014102180001</t>
  </si>
  <si>
    <t>WESTINA MARYANTI KOGOYA</t>
  </si>
  <si>
    <t>9109012008100011</t>
  </si>
  <si>
    <t>9109011806760005</t>
  </si>
  <si>
    <t>SAIFUL ANAM</t>
  </si>
  <si>
    <t>9109016708770005</t>
  </si>
  <si>
    <t>ENDANG SRIYATI</t>
  </si>
  <si>
    <t>9109163009990001</t>
  </si>
  <si>
    <t>MUHAMAD IDRIS</t>
  </si>
  <si>
    <t>9109012808130001</t>
  </si>
  <si>
    <t>SAIFUL ANAM JUNIOR</t>
  </si>
  <si>
    <t>9109166604160002</t>
  </si>
  <si>
    <t>KESA PRAMUDITA ANAM</t>
  </si>
  <si>
    <t>9109166704160002</t>
  </si>
  <si>
    <t>KELA PRAMUSITA ANAM</t>
  </si>
  <si>
    <t>9109162403170004</t>
  </si>
  <si>
    <t>9109162002810001</t>
  </si>
  <si>
    <t>BOAS GWIJANGGE</t>
  </si>
  <si>
    <t>9109167105890001</t>
  </si>
  <si>
    <t>MUTIANA NIRIGI</t>
  </si>
  <si>
    <t>9109164807040002</t>
  </si>
  <si>
    <t>ROSALINA GWIJANGGE</t>
  </si>
  <si>
    <t>9109164612000001</t>
  </si>
  <si>
    <t>AGUSTINA GWIJANGGE</t>
  </si>
  <si>
    <t>9109164101160002</t>
  </si>
  <si>
    <t>9109160101160001</t>
  </si>
  <si>
    <t>ROBERTO DEREK GWIJANGGE</t>
  </si>
  <si>
    <t>9109163005180002</t>
  </si>
  <si>
    <t>YEFIRI GWIJANGGE</t>
  </si>
  <si>
    <t>9109161910200002</t>
  </si>
  <si>
    <t>9109162608010001</t>
  </si>
  <si>
    <t>LAK I-LAKI</t>
  </si>
  <si>
    <t>9109164809030001</t>
  </si>
  <si>
    <t>RANSINA KOGOYA</t>
  </si>
  <si>
    <t>PEFIEMPUAN</t>
  </si>
  <si>
    <t>9109160902220005</t>
  </si>
  <si>
    <t>JUSNI GWIJANGGE</t>
  </si>
  <si>
    <t>9109160705190001</t>
  </si>
  <si>
    <t>WENIANUS GWIJANGGE</t>
  </si>
  <si>
    <t>9124091710190004</t>
  </si>
  <si>
    <t>9124092802900001</t>
  </si>
  <si>
    <t>MIRI GWIJANGGE</t>
  </si>
  <si>
    <t>GOL</t>
  </si>
  <si>
    <t>9124094811980001</t>
  </si>
  <si>
    <t>DAMIRA TABUNI</t>
  </si>
  <si>
    <t>9109161005210017</t>
  </si>
  <si>
    <t>9109166112030001</t>
  </si>
  <si>
    <t>DINGGINCINA WANDIKBO</t>
  </si>
  <si>
    <t>9109161310120001</t>
  </si>
  <si>
    <t>WAINUS GWIJANGGE</t>
  </si>
  <si>
    <t>9109160504150004</t>
  </si>
  <si>
    <t>MAISON GWIANGGE</t>
  </si>
  <si>
    <t>9109165106180001</t>
  </si>
  <si>
    <t>KOSINA GWIJANGGE</t>
  </si>
  <si>
    <t>9109011110180004</t>
  </si>
  <si>
    <t>9109034306940002</t>
  </si>
  <si>
    <t>JOPIANA GWIJANGGE</t>
  </si>
  <si>
    <t>MINIEN</t>
  </si>
  <si>
    <t>9109011002140006</t>
  </si>
  <si>
    <t>EPISKO NIRIGI</t>
  </si>
  <si>
    <t>9109011009140003</t>
  </si>
  <si>
    <t>9109014311170002</t>
  </si>
  <si>
    <t>ESIANA NIRIGI</t>
  </si>
  <si>
    <t>KRISTEN.</t>
  </si>
  <si>
    <t>9109012708190005</t>
  </si>
  <si>
    <t>ESINA NIRIGI</t>
  </si>
  <si>
    <t>9109034205920001</t>
  </si>
  <si>
    <t>YURANA NIRIGI</t>
  </si>
  <si>
    <t>BELUIATIDAK BEKERJA</t>
  </si>
  <si>
    <t>9109030406980002</t>
  </si>
  <si>
    <t>ANTA NIRIGI</t>
  </si>
  <si>
    <t>9109162303170002</t>
  </si>
  <si>
    <t>9109030902950001</t>
  </si>
  <si>
    <t>ORANIUS GWIJANGGE</t>
  </si>
  <si>
    <t>MAPNDIMA</t>
  </si>
  <si>
    <t>9109165504990001</t>
  </si>
  <si>
    <t>YUPENIA WANDIKBO</t>
  </si>
  <si>
    <t>9109160507000001</t>
  </si>
  <si>
    <t>ILEP GWIJANGGE</t>
  </si>
  <si>
    <t>9109160712050001</t>
  </si>
  <si>
    <t>IBENUS GWIJANGGE</t>
  </si>
  <si>
    <t>9109160809080001</t>
  </si>
  <si>
    <t>MIRIH GWIJANGGE</t>
  </si>
  <si>
    <t>9109033011100001</t>
  </si>
  <si>
    <t>9109032307640002</t>
  </si>
  <si>
    <t>MARTINUS WANDIKMBO</t>
  </si>
  <si>
    <t>AKIMUGA</t>
  </si>
  <si>
    <t xml:space="preserve">KARYAWAN SWASTA  </t>
  </si>
  <si>
    <t>9109034604730001</t>
  </si>
  <si>
    <t>GERPASIA MIRIP</t>
  </si>
  <si>
    <t>9109034603950001</t>
  </si>
  <si>
    <t>IRAWATI WANDIKMBO</t>
  </si>
  <si>
    <t>9109032707010001</t>
  </si>
  <si>
    <t>WENE MIRIP</t>
  </si>
  <si>
    <t>BELUMMDAK BEKERJA</t>
  </si>
  <si>
    <t>9109166611050001</t>
  </si>
  <si>
    <t>NADIA WANDIKBO</t>
  </si>
  <si>
    <t>9109030607070001</t>
  </si>
  <si>
    <t>SAMUEL WANDIKMBO</t>
  </si>
  <si>
    <t>9109017103780001</t>
  </si>
  <si>
    <t>NURMALA</t>
  </si>
  <si>
    <t>9109162410180017</t>
  </si>
  <si>
    <t>9109161603750001</t>
  </si>
  <si>
    <t>MELKIOR GWIJANGGE</t>
  </si>
  <si>
    <t>9103035710790001</t>
  </si>
  <si>
    <t>ETERA WUMANGGE</t>
  </si>
  <si>
    <t>7324053110130002</t>
  </si>
  <si>
    <t>7324050107890002</t>
  </si>
  <si>
    <t>ANTON SUJARWO</t>
  </si>
  <si>
    <t>SOLO</t>
  </si>
  <si>
    <t>7324054107940003</t>
  </si>
  <si>
    <t>LUWU</t>
  </si>
  <si>
    <t>7324052511150001</t>
  </si>
  <si>
    <t>ADAM AL FATH</t>
  </si>
  <si>
    <t>9124091710190005</t>
  </si>
  <si>
    <t>9124092701680001</t>
  </si>
  <si>
    <t>DAPIT GWIJANGGE</t>
  </si>
  <si>
    <t>9124095312700001</t>
  </si>
  <si>
    <t>ROPA KOGOYA</t>
  </si>
  <si>
    <t>9124092802940001</t>
  </si>
  <si>
    <t>LUWIS GWIJANGGE</t>
  </si>
  <si>
    <t>9124096508980001</t>
  </si>
  <si>
    <t>NEBINA GWIJANGGE</t>
  </si>
  <si>
    <t>9124091507100001</t>
  </si>
  <si>
    <t>LIKINUS GWIJANGGE</t>
  </si>
  <si>
    <t>3513141611053537</t>
  </si>
  <si>
    <t>3513140706840001</t>
  </si>
  <si>
    <t>UCEK ANDRIASMITO KUSUMO</t>
  </si>
  <si>
    <t>PROBOLINGGO</t>
  </si>
  <si>
    <t>3513145912840002</t>
  </si>
  <si>
    <t>INDARWATI</t>
  </si>
  <si>
    <t>LUMAJANG</t>
  </si>
  <si>
    <t>3513141204070001</t>
  </si>
  <si>
    <t>ALEXANTYANDRA PANGESTU P.</t>
  </si>
  <si>
    <t>LAKI-LAAKI</t>
  </si>
  <si>
    <t>3513141605130002</t>
  </si>
  <si>
    <t>BIANDRA HAYZA SHAKIEL ALESHA PRIYONO</t>
  </si>
  <si>
    <t>9109032306100007</t>
  </si>
  <si>
    <t>9109032310550001</t>
  </si>
  <si>
    <t>DAVID KULLA</t>
  </si>
  <si>
    <t>RT 08</t>
  </si>
  <si>
    <t>9109035203630002</t>
  </si>
  <si>
    <t>ANTONIA YAPORAU</t>
  </si>
  <si>
    <t>9109035303780001</t>
  </si>
  <si>
    <t>PASKALINA KULLA</t>
  </si>
  <si>
    <t>MAPURUJAYA</t>
  </si>
  <si>
    <t>9109035303840001</t>
  </si>
  <si>
    <t>ERDALINA KULLA</t>
  </si>
  <si>
    <t>9109032001870001</t>
  </si>
  <si>
    <t>DEMIANUS KULLA</t>
  </si>
  <si>
    <t>9109035607930001</t>
  </si>
  <si>
    <t>YULIYANTI KULLA</t>
  </si>
  <si>
    <t>9109161402130002</t>
  </si>
  <si>
    <t>FEBRINHO THEO ALOM</t>
  </si>
  <si>
    <t>9109165905140001</t>
  </si>
  <si>
    <t>ANTONIA WANIA KULLA</t>
  </si>
  <si>
    <t>9109160306190001</t>
  </si>
  <si>
    <t>DAMIANUS KULLA</t>
  </si>
  <si>
    <t>9109161502160007</t>
  </si>
  <si>
    <t>9109160808880001</t>
  </si>
  <si>
    <t>ANAKLETUS YAWA</t>
  </si>
  <si>
    <t>9109164210140003</t>
  </si>
  <si>
    <t>MARSELINA YAWA</t>
  </si>
  <si>
    <t>9109161809190015</t>
  </si>
  <si>
    <t>1506071908930002</t>
  </si>
  <si>
    <t>ANDRI</t>
  </si>
  <si>
    <t>PAGAR ALAM</t>
  </si>
  <si>
    <t>TENTARA NASIONAL INDONESIA (TNI)</t>
  </si>
  <si>
    <t>1506086206940001</t>
  </si>
  <si>
    <t>WITRI YANIA.Md</t>
  </si>
  <si>
    <t>LAMPISI</t>
  </si>
  <si>
    <t>9109161410190001</t>
  </si>
  <si>
    <t>DAEREN PRADITA</t>
  </si>
  <si>
    <t>JAMBI</t>
  </si>
  <si>
    <t>9404166907230001</t>
  </si>
  <si>
    <t>DAENA RUNA RANCITA</t>
  </si>
  <si>
    <t>9109162408210003</t>
  </si>
  <si>
    <t>1609012707990005</t>
  </si>
  <si>
    <t>ANDRE ALI PRAYOGI</t>
  </si>
  <si>
    <t>MUARADUA</t>
  </si>
  <si>
    <t>9108014401900007</t>
  </si>
  <si>
    <t>DEVI TRI SUSANTI</t>
  </si>
  <si>
    <t>9404162807230003</t>
  </si>
  <si>
    <t>9104011705940007</t>
  </si>
  <si>
    <t>KAISANUS PIGAI</t>
  </si>
  <si>
    <t>9109015208970003</t>
  </si>
  <si>
    <t>AGUSTINA MAGAI</t>
  </si>
  <si>
    <t>9404161709230001</t>
  </si>
  <si>
    <t>JHON LUCKY PIGAI</t>
  </si>
  <si>
    <t>9109030702130001</t>
  </si>
  <si>
    <t>9109030202900001</t>
  </si>
  <si>
    <t>PUNGKI HARI PAMUNGKAS</t>
  </si>
  <si>
    <t>9109015610890002</t>
  </si>
  <si>
    <t>SITI NURJANAH</t>
  </si>
  <si>
    <t>PENAWANGAN GROBOGAN</t>
  </si>
  <si>
    <t>9109037101130001</t>
  </si>
  <si>
    <t>AZHAKIRA MUTIARA KIRANA</t>
  </si>
  <si>
    <t>9109166910170001</t>
  </si>
  <si>
    <t>ADINDA TASYA PAMUNGKAS</t>
  </si>
  <si>
    <t>SIDOARJO</t>
  </si>
  <si>
    <t>9404160203230001</t>
  </si>
  <si>
    <t>3524223004960003</t>
  </si>
  <si>
    <t>FAUZI KRISNAWAN HARTONO</t>
  </si>
  <si>
    <t>MAKASAR</t>
  </si>
  <si>
    <t>3524174203950001</t>
  </si>
  <si>
    <t>GLADIS VELLA NOVIYANTI</t>
  </si>
  <si>
    <t>9109162010160011</t>
  </si>
  <si>
    <t>7308221612920002</t>
  </si>
  <si>
    <t>YUSWANDI</t>
  </si>
  <si>
    <t>WATAMPONE</t>
  </si>
  <si>
    <t>9109015708000012</t>
  </si>
  <si>
    <t>PUTRI MILANI SYAM BOKKO</t>
  </si>
  <si>
    <t>BOMBONAWULU</t>
  </si>
  <si>
    <t>9109162903220001</t>
  </si>
  <si>
    <t>ARGANTARA MARENDRA PERKASA</t>
  </si>
  <si>
    <t>9404164507230001</t>
  </si>
  <si>
    <t>ARSYILA SAVINA PUTRI</t>
  </si>
  <si>
    <t>9109160408220004</t>
  </si>
  <si>
    <t>9171022106910010</t>
  </si>
  <si>
    <t>SABARUDIN</t>
  </si>
  <si>
    <t>KALE'O</t>
  </si>
  <si>
    <t>TENTARA NASIONAL INDONESIA(TNI)</t>
  </si>
  <si>
    <t>5206126704971002</t>
  </si>
  <si>
    <t>YENI FATMAWATI</t>
  </si>
  <si>
    <t>KALEO</t>
  </si>
  <si>
    <t>9109166212220001</t>
  </si>
  <si>
    <t>SYAFAZEA ALEESHA BAHIRA</t>
  </si>
  <si>
    <t>5206121512051004</t>
  </si>
  <si>
    <t>ANDI ANTIKA</t>
  </si>
  <si>
    <t>PELAJARAAAHASISWA</t>
  </si>
  <si>
    <t>9109031909120001</t>
  </si>
  <si>
    <t>9109030712880001</t>
  </si>
  <si>
    <t>HARI KRISTANTO</t>
  </si>
  <si>
    <t>SLEMAN</t>
  </si>
  <si>
    <t>3374125812920004</t>
  </si>
  <si>
    <t>AYU DYATI AFRI DIANA SUWARNO</t>
  </si>
  <si>
    <t>MENGURUS RUMAM TANGGA</t>
  </si>
  <si>
    <t>9109161311140001</t>
  </si>
  <si>
    <t>ABRIZAM NOVANDRA KRISTANTO</t>
  </si>
  <si>
    <t>9109161911220001</t>
  </si>
  <si>
    <t>FIKHAR DAVER KRISTANTO</t>
  </si>
  <si>
    <t>9109162103190015</t>
  </si>
  <si>
    <t>5206153003920001</t>
  </si>
  <si>
    <t>SURAIDIN</t>
  </si>
  <si>
    <t>GOWA</t>
  </si>
  <si>
    <t>5315054308820003</t>
  </si>
  <si>
    <t>ENDANG MAWARTI</t>
  </si>
  <si>
    <t>5206122212040001</t>
  </si>
  <si>
    <t>RIZAL AF JANUR RAHMAN</t>
  </si>
  <si>
    <t>9109032307180001</t>
  </si>
  <si>
    <t>8203052602880001</t>
  </si>
  <si>
    <t>SELVIANUS SUBANG</t>
  </si>
  <si>
    <t>TOBELO</t>
  </si>
  <si>
    <t>8207045902850001</t>
  </si>
  <si>
    <t>YOHANA LISNAWATI MEREK</t>
  </si>
  <si>
    <t>MOROTAI</t>
  </si>
  <si>
    <t>PEGAWAI NEGERI SIPIL (PNS)</t>
  </si>
  <si>
    <t>8203057107130001</t>
  </si>
  <si>
    <t>ASTHY JELOVESYA SUBANG</t>
  </si>
  <si>
    <t>9109031901170002</t>
  </si>
  <si>
    <t>JUAN ORGILIVE SUBANG</t>
  </si>
  <si>
    <t>9404031905230001</t>
  </si>
  <si>
    <t>CRISPINUS CANELO MILES SUBANG</t>
  </si>
  <si>
    <t>9404161204230003</t>
  </si>
  <si>
    <t>1219031001960008</t>
  </si>
  <si>
    <t>RIZKY AWALDI SIBURIAN</t>
  </si>
  <si>
    <t>TANAH TINGGI</t>
  </si>
  <si>
    <t>1272055705950004</t>
  </si>
  <si>
    <t>AGUSTINA MEGAWATY PASARIBU</t>
  </si>
  <si>
    <t>9109032907190002</t>
  </si>
  <si>
    <t>1102052106970001</t>
  </si>
  <si>
    <t>DANIEL MARBUN</t>
  </si>
  <si>
    <t>PARDAMEAN</t>
  </si>
  <si>
    <t>9109016508940001</t>
  </si>
  <si>
    <t>DENNY RISTA NOVITA SILITONGA</t>
  </si>
  <si>
    <t>9109035501230001</t>
  </si>
  <si>
    <t>DANIELLA ZEFANYA AMORRA MARBUN</t>
  </si>
  <si>
    <t>GLADIS VELLA NOVTYANTI</t>
  </si>
  <si>
    <t>9109032410860001</t>
  </si>
  <si>
    <t>ISWAN</t>
  </si>
  <si>
    <t>DORIDUNGGA</t>
  </si>
  <si>
    <t>9109015303870007</t>
  </si>
  <si>
    <t>SULIS TRI MULYANI</t>
  </si>
  <si>
    <t>KARANGANYAR</t>
  </si>
  <si>
    <t>9109034102130001</t>
  </si>
  <si>
    <t>SAFIRA NURUL KHOTIMAH</t>
  </si>
  <si>
    <t>9109166312150001</t>
  </si>
  <si>
    <t>SYAUQINA AZZAHRA</t>
  </si>
  <si>
    <t>9404160108230008</t>
  </si>
  <si>
    <t>9206010208950001</t>
  </si>
  <si>
    <t>ARDI</t>
  </si>
  <si>
    <t>9206014403972001</t>
  </si>
  <si>
    <t>NUR ASRI CHAERUNNISA</t>
  </si>
  <si>
    <t>9404161309230003</t>
  </si>
  <si>
    <t>5205061510960002</t>
  </si>
  <si>
    <t>HERI HARYANTO</t>
  </si>
  <si>
    <t>DOMPU</t>
  </si>
  <si>
    <t>7304064108000002</t>
  </si>
  <si>
    <t>AGUSTINA</t>
  </si>
  <si>
    <t>BUNGUNG BARANA</t>
  </si>
  <si>
    <t>9109160901190006</t>
  </si>
  <si>
    <t>3578042701920006</t>
  </si>
  <si>
    <t>ARI MURSITO</t>
  </si>
  <si>
    <t>BANTUL</t>
  </si>
  <si>
    <t>3314064204920001</t>
  </si>
  <si>
    <t>ZHENDY APRIYASTUTI</t>
  </si>
  <si>
    <t>9109165104190001</t>
  </si>
  <si>
    <t>JELITA ARYESTI KIRANA</t>
  </si>
  <si>
    <t>3314060806030001</t>
  </si>
  <si>
    <t>WAHYU KRISNA ANANDA</t>
  </si>
  <si>
    <t>9404162712230001</t>
  </si>
  <si>
    <t>7311011107770004</t>
  </si>
  <si>
    <t>UDIN</t>
  </si>
  <si>
    <t>PACCIRO</t>
  </si>
  <si>
    <t>9109162912220001</t>
  </si>
  <si>
    <t>5171031302910003</t>
  </si>
  <si>
    <t>WIDI KURNIAWAN</t>
  </si>
  <si>
    <t>3516085205910001</t>
  </si>
  <si>
    <t>DWI VIOLITA SARI</t>
  </si>
  <si>
    <t>MOJOKERTO</t>
  </si>
  <si>
    <t>3516085812160001</t>
  </si>
  <si>
    <t>QUEENSHA BRIGITTA KURNIAWAN</t>
  </si>
  <si>
    <t>9109161904220002</t>
  </si>
  <si>
    <t>RADEN GANESH MAHAVIR</t>
  </si>
  <si>
    <t>9404160912230001</t>
  </si>
  <si>
    <t>7311012404940004</t>
  </si>
  <si>
    <t>SAHRUL</t>
  </si>
  <si>
    <t>7311015802930001</t>
  </si>
  <si>
    <t>NANGKA</t>
  </si>
  <si>
    <t>WAESAI</t>
  </si>
  <si>
    <t>7311016606080001</t>
  </si>
  <si>
    <t>RASTI</t>
  </si>
  <si>
    <t>7311016704160001</t>
  </si>
  <si>
    <t>KEISHA ZAHRA</t>
  </si>
  <si>
    <t>7311014505220002</t>
  </si>
  <si>
    <t>MUTIA ZAHRA</t>
  </si>
  <si>
    <t>9109011807110042</t>
  </si>
  <si>
    <t>9109014607670002</t>
  </si>
  <si>
    <t>RABIAH</t>
  </si>
  <si>
    <t>7311010404790001</t>
  </si>
  <si>
    <t>BAKTIAR</t>
  </si>
  <si>
    <t>7311010311070002</t>
  </si>
  <si>
    <t>IKRAM BAKTIAR</t>
  </si>
  <si>
    <t>9404161807230011</t>
  </si>
  <si>
    <t>8171022805970002</t>
  </si>
  <si>
    <t>FATMAN ELEWARIN</t>
  </si>
  <si>
    <t>BONEOGE</t>
  </si>
  <si>
    <t>9109014404010008</t>
  </si>
  <si>
    <t>APRILLIA PRISEYLA LONGDONG</t>
  </si>
  <si>
    <t>3515011605230002</t>
  </si>
  <si>
    <t>3515012002940001</t>
  </si>
  <si>
    <t>DHANI DWI AFANDHI</t>
  </si>
  <si>
    <t>3525025004970001</t>
  </si>
  <si>
    <t>ASMAUL SA'DIYAH</t>
  </si>
  <si>
    <t>3519061505190001</t>
  </si>
  <si>
    <t>3519061010930002</t>
  </si>
  <si>
    <t>AHMAD MUDZAKKI</t>
  </si>
  <si>
    <t>3518175812960005</t>
  </si>
  <si>
    <t>IVA RUBIATUN</t>
  </si>
  <si>
    <t>3519064411200001</t>
  </si>
  <si>
    <t>SUHA QURROTA MAULIDU AHMAD</t>
  </si>
  <si>
    <t>3519060808230001</t>
  </si>
  <si>
    <t>AHMAD MUFATHAN ZARKASYI</t>
  </si>
  <si>
    <t>3505171101220002</t>
  </si>
  <si>
    <t>3505171603950002</t>
  </si>
  <si>
    <t>EKA FEYBRIAN ANDYASWARA</t>
  </si>
  <si>
    <t>3506176401970002</t>
  </si>
  <si>
    <t>DYAH WAHYUDI FITRI</t>
  </si>
  <si>
    <t>3505175810220001</t>
  </si>
  <si>
    <t>BRYNA SHAQUEENA LABEEQA AZZAHRA</t>
  </si>
  <si>
    <t>9109161402200004</t>
  </si>
  <si>
    <t>3217090606850009</t>
  </si>
  <si>
    <t>BAMBANG KUMALADANY</t>
  </si>
  <si>
    <t>9109014707930010</t>
  </si>
  <si>
    <t>SUKAENI SARING</t>
  </si>
  <si>
    <t>9109011709140003</t>
  </si>
  <si>
    <t>ROFIQ KUMALA PRATAMA</t>
  </si>
  <si>
    <t>9109166210180001</t>
  </si>
  <si>
    <t>SHEZAN KUMALA ASKADINA SHANUM</t>
  </si>
  <si>
    <t>9109161302220003</t>
  </si>
  <si>
    <t>GEZA RAFKA KUMALA LINGGA</t>
  </si>
  <si>
    <t>9109161209180019</t>
  </si>
  <si>
    <t>9102122503900001</t>
  </si>
  <si>
    <t>YAMRUL FURQAN</t>
  </si>
  <si>
    <t>NARU SAPE</t>
  </si>
  <si>
    <t>5206125204890003</t>
  </si>
  <si>
    <t>9102120402160001</t>
  </si>
  <si>
    <t>AYYIS FEBRILLIAN</t>
  </si>
  <si>
    <t>5206125101010001</t>
  </si>
  <si>
    <t>WAHYUNINGSIH</t>
  </si>
  <si>
    <t>MANGGE</t>
  </si>
  <si>
    <t>9109030712210002</t>
  </si>
  <si>
    <t>3322152604930001</t>
  </si>
  <si>
    <t>CAHYANTAMA PANDU WILANDA</t>
  </si>
  <si>
    <t>KAB SEMARANG</t>
  </si>
  <si>
    <t>3322154808940001</t>
  </si>
  <si>
    <t>MAULIDA ULYA ROSITA</t>
  </si>
  <si>
    <t>9109162805190010</t>
  </si>
  <si>
    <t>9201060412930001</t>
  </si>
  <si>
    <t>LIMPON ODE</t>
  </si>
  <si>
    <t>SEGET</t>
  </si>
  <si>
    <t>9171015212920006</t>
  </si>
  <si>
    <t>DAMARIS</t>
  </si>
  <si>
    <t>9109165708190001</t>
  </si>
  <si>
    <t>WA ODE HAURA NAZHIFA LIMPON</t>
  </si>
  <si>
    <t>9109165508220002</t>
  </si>
  <si>
    <t>WA ODE YUMNA AFIDA LIMPON</t>
  </si>
  <si>
    <t>9109091611200003</t>
  </si>
  <si>
    <t>7304032901970001</t>
  </si>
  <si>
    <t>RIFKI RAMAYANTO JUM</t>
  </si>
  <si>
    <t>9109016607970003</t>
  </si>
  <si>
    <t>CHERIA ARIANTY</t>
  </si>
  <si>
    <t>9109092310210002</t>
  </si>
  <si>
    <t>MUHAMMAD DAFFA ALFARIZQI JUMALI</t>
  </si>
  <si>
    <t>9109012102110054</t>
  </si>
  <si>
    <t>9109010603850009</t>
  </si>
  <si>
    <t>VALENT INUS K.TUKAN</t>
  </si>
  <si>
    <t>FALABISAHAYA</t>
  </si>
  <si>
    <t xml:space="preserve">TENTARA NASIONAL INDONESIA </t>
  </si>
  <si>
    <t>9109016412830011</t>
  </si>
  <si>
    <t>NATALIA OHOITIMUR</t>
  </si>
  <si>
    <t>9109015101100004</t>
  </si>
  <si>
    <t>VALENTINA VIRGINIA BOPO TUKAN</t>
  </si>
  <si>
    <t>9109091303190002</t>
  </si>
  <si>
    <t>5271062905960003</t>
  </si>
  <si>
    <t>I PUTU MAHENDRA PUTRA</t>
  </si>
  <si>
    <t>MATARAM</t>
  </si>
  <si>
    <t>9109015402940005</t>
  </si>
  <si>
    <t>SAMSIAH</t>
  </si>
  <si>
    <t>9109090408190001</t>
  </si>
  <si>
    <t>I PUTU DIRGA MURDANA PUTRA</t>
  </si>
  <si>
    <t>9109031410100009</t>
  </si>
  <si>
    <t>9109030412840001</t>
  </si>
  <si>
    <t>HARDIN</t>
  </si>
  <si>
    <t>BABA</t>
  </si>
  <si>
    <t>TENTARA NASIONAL INDONESAI (TNI)</t>
  </si>
  <si>
    <t>9109035904820001</t>
  </si>
  <si>
    <t>DWI SRI WAHYU NINGSIH</t>
  </si>
  <si>
    <t>SLAM</t>
  </si>
  <si>
    <t>9109031411110001</t>
  </si>
  <si>
    <t>MUHAMMAD AKMAL TAUFIQQURAHMAN</t>
  </si>
  <si>
    <t>9109035611200001</t>
  </si>
  <si>
    <t>ANUM HAMDA SAKHIA</t>
  </si>
  <si>
    <t>3521052011200001</t>
  </si>
  <si>
    <t>3521181109970005</t>
  </si>
  <si>
    <t>ROFIK ASHARI</t>
  </si>
  <si>
    <t>3521056203950002</t>
  </si>
  <si>
    <t>ESTY INDAH PERMANI</t>
  </si>
  <si>
    <t>3521056701210001</t>
  </si>
  <si>
    <t>JENNAIRA SHANUM ASHARI</t>
  </si>
  <si>
    <t>9101180801080138</t>
  </si>
  <si>
    <t>9101181010720001</t>
  </si>
  <si>
    <t>ANDARIAS MASBAITUBUN</t>
  </si>
  <si>
    <t>WARBAL</t>
  </si>
  <si>
    <t>BURUH NELAYAN/PERIKANAN</t>
  </si>
  <si>
    <t>9101185010690002</t>
  </si>
  <si>
    <t>DIANA KRISNA KARIMALAI</t>
  </si>
  <si>
    <t>9101180509930001</t>
  </si>
  <si>
    <t>NIMROT MASBAITUBUN</t>
  </si>
  <si>
    <t>9101181105980002</t>
  </si>
  <si>
    <t>IMANUEL ANTON MASBAITUBUN</t>
  </si>
  <si>
    <t>WOGEKEL</t>
  </si>
  <si>
    <t>9101180205000001</t>
  </si>
  <si>
    <t>GUSTAP MASBAITUBUN</t>
  </si>
  <si>
    <t>WANAM</t>
  </si>
  <si>
    <t>9101185301030001</t>
  </si>
  <si>
    <t>ALFONSINA MASBAITUBUN</t>
  </si>
  <si>
    <t>9101186704050001</t>
  </si>
  <si>
    <t>OKTOFINA MASBAITUBUN</t>
  </si>
  <si>
    <t>9101180502710001</t>
  </si>
  <si>
    <t>MARTINUS J.IWAWOMI</t>
  </si>
  <si>
    <t>9109012407170019</t>
  </si>
  <si>
    <t>9109011812910006</t>
  </si>
  <si>
    <t>DEDY WANDI IRIANTO</t>
  </si>
  <si>
    <t>9109014107930011</t>
  </si>
  <si>
    <t>MEYSI CLAUDIA JULIAN LIUW</t>
  </si>
  <si>
    <t>MANADO</t>
  </si>
  <si>
    <t>MENSURUE RUMAH TANGGA</t>
  </si>
  <si>
    <t>9109014807160004</t>
  </si>
  <si>
    <t>NADHIRA ALISHA FITRI</t>
  </si>
  <si>
    <t>9109012707170004</t>
  </si>
  <si>
    <t>DANU RAFIF ABRISAM</t>
  </si>
  <si>
    <t>9109162109200003</t>
  </si>
  <si>
    <t>9171023003930003</t>
  </si>
  <si>
    <t>7308065601930001</t>
  </si>
  <si>
    <t>LELI</t>
  </si>
  <si>
    <t>DOSEN</t>
  </si>
  <si>
    <t>9109164212210001</t>
  </si>
  <si>
    <t>YUMI ELSHANUM ZOEYA AHMAD</t>
  </si>
  <si>
    <t xml:space="preserve">9109162910210003 </t>
  </si>
  <si>
    <t>9103011612891001</t>
  </si>
  <si>
    <t>FENDRIK HENDRIK SANGGARANG BANO</t>
  </si>
  <si>
    <t>9109016111940002</t>
  </si>
  <si>
    <t>VENDA CLAUDIA WUARLELA</t>
  </si>
  <si>
    <t>9109166007220002</t>
  </si>
  <si>
    <t>9109160610210006</t>
  </si>
  <si>
    <t>3527022705930002</t>
  </si>
  <si>
    <t>MOHAMMAD ARKOM</t>
  </si>
  <si>
    <t>SAMPANG</t>
  </si>
  <si>
    <t>3515026508940004</t>
  </si>
  <si>
    <t>MEGA LESTARI</t>
  </si>
  <si>
    <t>MENGURUS RUMAN TANGGA</t>
  </si>
  <si>
    <t>9109161009220001</t>
  </si>
  <si>
    <t>GUSTI MADA</t>
  </si>
  <si>
    <t>9109162202180007</t>
  </si>
  <si>
    <t>9103011404900002</t>
  </si>
  <si>
    <t>ROMAN JAYA PRAYITNO</t>
  </si>
  <si>
    <t>3201347008970004</t>
  </si>
  <si>
    <t>YUSNIA</t>
  </si>
  <si>
    <t>BOGOR</t>
  </si>
  <si>
    <t>9109161605180003</t>
  </si>
  <si>
    <t>HANIF ALFARIZI RAMADHAN</t>
  </si>
  <si>
    <t>9109164505210002</t>
  </si>
  <si>
    <t>ARISHA KIRANA RAMADHANI</t>
  </si>
  <si>
    <t xml:space="preserve">9109160203180009 </t>
  </si>
  <si>
    <t>7311061506760003</t>
  </si>
  <si>
    <t>LAPPA BILA</t>
  </si>
  <si>
    <t>7311066007820001</t>
  </si>
  <si>
    <t>NURLINA</t>
  </si>
  <si>
    <t>BETTE</t>
  </si>
  <si>
    <t>9109160512030001</t>
  </si>
  <si>
    <t>WAHYU</t>
  </si>
  <si>
    <t>9109160207120002</t>
  </si>
  <si>
    <t>MUHAMMAD SAIFUL</t>
  </si>
  <si>
    <t>7308063005180001</t>
  </si>
  <si>
    <t>7308060705796501</t>
  </si>
  <si>
    <t>JUMARKA</t>
  </si>
  <si>
    <t>7308066811840002</t>
  </si>
  <si>
    <t>IMA</t>
  </si>
  <si>
    <t>7308065101080001</t>
  </si>
  <si>
    <t>SIORAP</t>
  </si>
  <si>
    <t>9109010203110027</t>
  </si>
  <si>
    <t>9109011907860011</t>
  </si>
  <si>
    <t>HERUDIN</t>
  </si>
  <si>
    <t>LAKI-LAK</t>
  </si>
  <si>
    <t>SOPIR</t>
  </si>
  <si>
    <t>9109015306900007</t>
  </si>
  <si>
    <t>NUR JANNAH</t>
  </si>
  <si>
    <t>TAKALAR</t>
  </si>
  <si>
    <t>9109014205110001</t>
  </si>
  <si>
    <t>KARTINI</t>
  </si>
  <si>
    <t>9109016309130008</t>
  </si>
  <si>
    <t>SYARIFA</t>
  </si>
  <si>
    <t>9109010403170003</t>
  </si>
  <si>
    <t>MUHAMMAD ALIF</t>
  </si>
  <si>
    <t>7311011510120002</t>
  </si>
  <si>
    <t>7311014703840001</t>
  </si>
  <si>
    <t>ERNI</t>
  </si>
  <si>
    <t>KRAM BAKTIAR</t>
  </si>
  <si>
    <t>7311012707090005</t>
  </si>
  <si>
    <t>IKSAM BAKTIAR</t>
  </si>
  <si>
    <t>7311012704170001</t>
  </si>
  <si>
    <t>IRSYAD BAKTIAR</t>
  </si>
  <si>
    <t>7311010107780012</t>
  </si>
  <si>
    <t>APLES</t>
  </si>
  <si>
    <t>9109032204130002</t>
  </si>
  <si>
    <t>9109030806860001</t>
  </si>
  <si>
    <t>MUHAUMAD ABDUL GHOFUR</t>
  </si>
  <si>
    <t>9109015912890004</t>
  </si>
  <si>
    <t>NANA AYU WAHYUNINGRUM</t>
  </si>
  <si>
    <t>KUTAI</t>
  </si>
  <si>
    <t>9109031604130001</t>
  </si>
  <si>
    <t>NAUFAL ZAKA ADNAN GHOFUR</t>
  </si>
  <si>
    <t>9404011602230004</t>
  </si>
  <si>
    <t>9171030711920002</t>
  </si>
  <si>
    <t>SEVERIANUS. H.N. HANASBEY</t>
  </si>
  <si>
    <t>6102015309940005</t>
  </si>
  <si>
    <t>THERESIA TIRSA FANGOHOI</t>
  </si>
  <si>
    <t>9404012610210001</t>
  </si>
  <si>
    <t>GEFAHIEL JOROAN CERLIO HANASBEY</t>
  </si>
  <si>
    <t>3576033105220001</t>
  </si>
  <si>
    <t>3516100307960003</t>
  </si>
  <si>
    <t>RESI VEGA DWI SETIABUDI</t>
  </si>
  <si>
    <t>3576026206960007</t>
  </si>
  <si>
    <t>YUNIDAR AYU PRATAMA</t>
  </si>
  <si>
    <t>3576034511230002</t>
  </si>
  <si>
    <t>MAZEA YUMNA REVANY</t>
  </si>
  <si>
    <t>9109092406210005</t>
  </si>
  <si>
    <t>3206040108970003</t>
  </si>
  <si>
    <t>AGUS ABDUL ZAMIL</t>
  </si>
  <si>
    <t>TASIKMALAYA</t>
  </si>
  <si>
    <t xml:space="preserve">KEPALA KELUARGA </t>
  </si>
  <si>
    <t>3206054608970005</t>
  </si>
  <si>
    <t>EVI VITRIANI</t>
  </si>
  <si>
    <t>3206050405220001</t>
  </si>
  <si>
    <t>ARKHAN WIRATAMA ADHAN PUTRA</t>
  </si>
  <si>
    <t>9109012103110107</t>
  </si>
  <si>
    <t>9109010504870004</t>
  </si>
  <si>
    <t>TASRIN</t>
  </si>
  <si>
    <t>DONGKALA</t>
  </si>
  <si>
    <t>9109014303880014</t>
  </si>
  <si>
    <t>YUMIANA</t>
  </si>
  <si>
    <t>LABAHAWA</t>
  </si>
  <si>
    <t>9109014607110003</t>
  </si>
  <si>
    <t>GHINA ADIA NAURA</t>
  </si>
  <si>
    <t>9109016805170004</t>
  </si>
  <si>
    <t>ARSY TSABITHA ALMEERA</t>
  </si>
  <si>
    <t>9109010512090021</t>
  </si>
  <si>
    <t>9109010403740001</t>
  </si>
  <si>
    <t>ALIROSTAM</t>
  </si>
  <si>
    <t>9109015202780001</t>
  </si>
  <si>
    <t>HASHAH</t>
  </si>
  <si>
    <t>9109012106000003</t>
  </si>
  <si>
    <t>IMAN SUKISMANSYAH</t>
  </si>
  <si>
    <t>9109013005030006</t>
  </si>
  <si>
    <t>IMAM ZAID AHMAD SANI</t>
  </si>
  <si>
    <t>9109011309080004</t>
  </si>
  <si>
    <t>IMAM ZAKIR SAIDIL</t>
  </si>
  <si>
    <t>19LAM</t>
  </si>
  <si>
    <t>9109012309130004</t>
  </si>
  <si>
    <t>IMAM ZIKRA IMRAN SAID</t>
  </si>
  <si>
    <t>9109011806180002</t>
  </si>
  <si>
    <t>INIAM ZAKKY AMIL SYAM</t>
  </si>
  <si>
    <t>9109090709210003</t>
  </si>
  <si>
    <t>6473040707940001</t>
  </si>
  <si>
    <t>ARIF DWI PUTRA</t>
  </si>
  <si>
    <t>9109014909930005</t>
  </si>
  <si>
    <t>SASMIKA ANWAR</t>
  </si>
  <si>
    <t>9109031709220001</t>
  </si>
  <si>
    <t>ARSHAKA SULTAN AL ANWAR</t>
  </si>
  <si>
    <t>9109011111210012</t>
  </si>
  <si>
    <t>9203061210920002</t>
  </si>
  <si>
    <t>RIZAL MAHMUD ONBAIR</t>
  </si>
  <si>
    <t>FAK-FAK</t>
  </si>
  <si>
    <t>9109017112910004</t>
  </si>
  <si>
    <t>SITI MASITA ROA</t>
  </si>
  <si>
    <t>9109010811180004</t>
  </si>
  <si>
    <t>MUHAMMAD AZZAM OMBAIR</t>
  </si>
  <si>
    <t>9203064904010001</t>
  </si>
  <si>
    <t>SITI HAPSA OMBAIR</t>
  </si>
  <si>
    <t>MALAKULI</t>
  </si>
  <si>
    <t>9203062210020002</t>
  </si>
  <si>
    <t>AHMAD FAUZAN OMBAIR</t>
  </si>
  <si>
    <t>KARAS</t>
  </si>
  <si>
    <t>9109160302220008</t>
  </si>
  <si>
    <t>7308250705860001</t>
  </si>
  <si>
    <t>NUKRI</t>
  </si>
  <si>
    <t>ELLE</t>
  </si>
  <si>
    <t>7311016712930002</t>
  </si>
  <si>
    <t>KASRINA</t>
  </si>
  <si>
    <t>7311011804140001</t>
  </si>
  <si>
    <t>SAKHI ZAIDAN</t>
  </si>
  <si>
    <t>9109032301200003</t>
  </si>
  <si>
    <t>5108021908900007</t>
  </si>
  <si>
    <t>DWI AGUS HIDAYAT</t>
  </si>
  <si>
    <t>3526084501000002</t>
  </si>
  <si>
    <t>QURROTUL A'YUN R.F.</t>
  </si>
  <si>
    <t>BANGKALAN</t>
  </si>
  <si>
    <t>1506020112000003</t>
  </si>
  <si>
    <t>M.RAMDANI</t>
  </si>
  <si>
    <t>KUALA TUNGKAL</t>
  </si>
  <si>
    <t>1103030704010003</t>
  </si>
  <si>
    <t>ILHAM TARUNA</t>
  </si>
  <si>
    <t>IDI RAYEUM</t>
  </si>
  <si>
    <t>5304120801180004</t>
  </si>
  <si>
    <t>6207012008780002</t>
  </si>
  <si>
    <t>MELKHIOR LAKI</t>
  </si>
  <si>
    <t>BAJAWA</t>
  </si>
  <si>
    <t>6207014707720005</t>
  </si>
  <si>
    <t>MONIKA SEU BAU</t>
  </si>
  <si>
    <t>LAKUS</t>
  </si>
  <si>
    <t>5304120706010001</t>
  </si>
  <si>
    <t>FREDIK RIVAN LAKI</t>
  </si>
  <si>
    <t>ATAMBUA</t>
  </si>
  <si>
    <t>5304122904040001</t>
  </si>
  <si>
    <t>ALEKSANDER LAKI</t>
  </si>
  <si>
    <t>6207010405060001</t>
  </si>
  <si>
    <t>ARNOLDUS TARA LAKI</t>
  </si>
  <si>
    <t>6207011510110003</t>
  </si>
  <si>
    <t>RICARDO RAGA LAKI</t>
  </si>
  <si>
    <t>KALIMANTAN</t>
  </si>
  <si>
    <t>9109030902120001</t>
  </si>
  <si>
    <t>9109032507700003</t>
  </si>
  <si>
    <t>BAHARUDDIN</t>
  </si>
  <si>
    <t>9109036512770001</t>
  </si>
  <si>
    <t>DARMA</t>
  </si>
  <si>
    <t>9109030507950002</t>
  </si>
  <si>
    <t>SYARIFUDIN</t>
  </si>
  <si>
    <t>9109030807960001</t>
  </si>
  <si>
    <t>JAMALUDIN</t>
  </si>
  <si>
    <t>PELAJARMAHASISWA</t>
  </si>
  <si>
    <t>9109031110030002</t>
  </si>
  <si>
    <t>JUMARDIN</t>
  </si>
  <si>
    <t>9109036911070002</t>
  </si>
  <si>
    <t>DINDA DWI YANTI</t>
  </si>
  <si>
    <t>7311012306140002</t>
  </si>
  <si>
    <t>9109030707100010</t>
  </si>
  <si>
    <t>9109032604680001</t>
  </si>
  <si>
    <t>MADDU</t>
  </si>
  <si>
    <t>RT 09</t>
  </si>
  <si>
    <t>9109035005800002</t>
  </si>
  <si>
    <t>MARTANG</t>
  </si>
  <si>
    <t>9109032202120001</t>
  </si>
  <si>
    <t>MAULIADI</t>
  </si>
  <si>
    <t>9109162204200002</t>
  </si>
  <si>
    <t>9102010505670001</t>
  </si>
  <si>
    <t>BULUKUMBA</t>
  </si>
  <si>
    <t>9102015011770005</t>
  </si>
  <si>
    <t>NURAENI</t>
  </si>
  <si>
    <t>BULURUMBA</t>
  </si>
  <si>
    <t>9102011011000001</t>
  </si>
  <si>
    <t>FAJAR</t>
  </si>
  <si>
    <t>9102010307040001</t>
  </si>
  <si>
    <t>ASNANDAR</t>
  </si>
  <si>
    <t>9102011510090001</t>
  </si>
  <si>
    <t>NURUL INAYAH</t>
  </si>
  <si>
    <t>PELAJAR/MAHASIsWA</t>
  </si>
  <si>
    <t>9109010111100095</t>
  </si>
  <si>
    <t>9109011207760004</t>
  </si>
  <si>
    <t>ASWAN T OHA</t>
  </si>
  <si>
    <t>UNJUNG PANDANG</t>
  </si>
  <si>
    <t>9109015802760003</t>
  </si>
  <si>
    <t>FAT MA BUJGIS</t>
  </si>
  <si>
    <t>KAITETU</t>
  </si>
  <si>
    <t>9100015604010004</t>
  </si>
  <si>
    <t>HERLINA ASWAN</t>
  </si>
  <si>
    <t>9109010112020003</t>
  </si>
  <si>
    <t>FAUZAN A.SWAN</t>
  </si>
  <si>
    <t>9109015604060003</t>
  </si>
  <si>
    <t>RAHMANISA ASWAN</t>
  </si>
  <si>
    <t>9109010505100013</t>
  </si>
  <si>
    <t>9109010403700003</t>
  </si>
  <si>
    <t>HANS LEISUBUN</t>
  </si>
  <si>
    <t>9109016510720003</t>
  </si>
  <si>
    <t>GENOVEVA INDRA HARTATI</t>
  </si>
  <si>
    <t>YOKYAKARTA</t>
  </si>
  <si>
    <t>9109011312950001</t>
  </si>
  <si>
    <t>LEVINUS ASKENSIO MAGATH LEISUBUN</t>
  </si>
  <si>
    <t>9109015712980001</t>
  </si>
  <si>
    <t>VIRGINIA TANCANG SAMUDRA LEISUBUN</t>
  </si>
  <si>
    <t>9109010505900020</t>
  </si>
  <si>
    <t>MAIKEL LEISUBUN</t>
  </si>
  <si>
    <t>9109084610940001</t>
  </si>
  <si>
    <t>FAUSTINA MAWIYUTA</t>
  </si>
  <si>
    <t>ATUKA</t>
  </si>
  <si>
    <t>9109030208100004</t>
  </si>
  <si>
    <t>9109030112800001</t>
  </si>
  <si>
    <t>YOHANIS TIRA</t>
  </si>
  <si>
    <t>TATOR</t>
  </si>
  <si>
    <t>7326024504890002</t>
  </si>
  <si>
    <t>LUSIANTI KELEN</t>
  </si>
  <si>
    <t>DERI</t>
  </si>
  <si>
    <t>9109030210080001</t>
  </si>
  <si>
    <t>YOHSAN KONDOLELE</t>
  </si>
  <si>
    <t>7326022706120002</t>
  </si>
  <si>
    <t>YORDANIAN KELEN KONDOLELE</t>
  </si>
  <si>
    <t>9109166110180002</t>
  </si>
  <si>
    <t>AZSIENA TIRA KONDOLELE</t>
  </si>
  <si>
    <t>TIMKA</t>
  </si>
  <si>
    <t>KRSSTEN</t>
  </si>
  <si>
    <t>7326025012000003</t>
  </si>
  <si>
    <t>SEFTIANI KONDOLELE</t>
  </si>
  <si>
    <t>BORU</t>
  </si>
  <si>
    <t>9109013108100042</t>
  </si>
  <si>
    <t>9109010404860013</t>
  </si>
  <si>
    <t>YUSUF PATADUNGAN</t>
  </si>
  <si>
    <t>SABBANG</t>
  </si>
  <si>
    <t>KAT HOLIK</t>
  </si>
  <si>
    <t>TENTARA NASIONAL INDONESIA</t>
  </si>
  <si>
    <t>9109016208830004</t>
  </si>
  <si>
    <t>SULASTRI PASARIBU</t>
  </si>
  <si>
    <t>CURUP</t>
  </si>
  <si>
    <t>9109014905120003</t>
  </si>
  <si>
    <t>REINHA SESIL IA KIRANA PATADUNG AN</t>
  </si>
  <si>
    <t>TIMK</t>
  </si>
  <si>
    <t>7202201010940001</t>
  </si>
  <si>
    <t>KRISANTU BONTTONG</t>
  </si>
  <si>
    <t>TIKUTAMBANG</t>
  </si>
  <si>
    <t>7202205707970001</t>
  </si>
  <si>
    <t>ELISABET SAMBA</t>
  </si>
  <si>
    <t>RANTE PASANG</t>
  </si>
  <si>
    <t>9109162607160012</t>
  </si>
  <si>
    <t>9102011706860005</t>
  </si>
  <si>
    <t>MUHAMMAD JUFRI</t>
  </si>
  <si>
    <t>9102014107650239</t>
  </si>
  <si>
    <t>NURHAEDA</t>
  </si>
  <si>
    <t>9102014107910215</t>
  </si>
  <si>
    <t>ROS MITA</t>
  </si>
  <si>
    <t>9102014107980159</t>
  </si>
  <si>
    <t>RISNA HASTUTI</t>
  </si>
  <si>
    <t>9109010611130037</t>
  </si>
  <si>
    <t>9109012608860017</t>
  </si>
  <si>
    <t>YOHANIS ARDIANTO</t>
  </si>
  <si>
    <t>SEPANG</t>
  </si>
  <si>
    <t>9109014403860012</t>
  </si>
  <si>
    <t>MARIA SAPPE</t>
  </si>
  <si>
    <t>MAPPAK</t>
  </si>
  <si>
    <t>9271050603700004</t>
  </si>
  <si>
    <t>PETRUS</t>
  </si>
  <si>
    <t>7604041304810009</t>
  </si>
  <si>
    <t>YULIUS BASRI</t>
  </si>
  <si>
    <t>MESSAWA</t>
  </si>
  <si>
    <t>7603072001030002</t>
  </si>
  <si>
    <t>TOFAN</t>
  </si>
  <si>
    <t>9109011811110019</t>
  </si>
  <si>
    <t>9109010709850015</t>
  </si>
  <si>
    <t>HOTMAN LIMBE</t>
  </si>
  <si>
    <t>TUABATU</t>
  </si>
  <si>
    <t>9109015809770005</t>
  </si>
  <si>
    <t>SELFI ESSING</t>
  </si>
  <si>
    <t>9109016604070007</t>
  </si>
  <si>
    <t>ESTER GLORIA LIMBE</t>
  </si>
  <si>
    <t>9109016506080009</t>
  </si>
  <si>
    <t>NAYLA LIMBE</t>
  </si>
  <si>
    <t>BITUNG</t>
  </si>
  <si>
    <t>9109166802130001</t>
  </si>
  <si>
    <t>JOFRINSCA SYANE SERLALOWY</t>
  </si>
  <si>
    <t>9109161009190006</t>
  </si>
  <si>
    <t>9109160205830001</t>
  </si>
  <si>
    <t>SANENE DJERFUY</t>
  </si>
  <si>
    <t>WARIA</t>
  </si>
  <si>
    <t>9109164212950001</t>
  </si>
  <si>
    <t>GIA DJABUMIR</t>
  </si>
  <si>
    <t>LEITING</t>
  </si>
  <si>
    <t>9109160212170001</t>
  </si>
  <si>
    <t>MUHAMMAD FIRMAN SAH DJERFUY</t>
  </si>
  <si>
    <t>ISLAMI</t>
  </si>
  <si>
    <t>9404160805240006</t>
  </si>
  <si>
    <t>9109037008980002</t>
  </si>
  <si>
    <t>HENDRIKA CIMANTEM</t>
  </si>
  <si>
    <t>9404160305210001</t>
  </si>
  <si>
    <t>ALDO YAWA</t>
  </si>
  <si>
    <t>9109010503200014</t>
  </si>
  <si>
    <t>9124012410830001</t>
  </si>
  <si>
    <t>ELI JANTO RENJAAN</t>
  </si>
  <si>
    <t>DANAR OHOISEB</t>
  </si>
  <si>
    <t>9109016407930001</t>
  </si>
  <si>
    <t>CUT NUR HAYATI</t>
  </si>
  <si>
    <t>9109011007180007</t>
  </si>
  <si>
    <t>KHUNDRAT ADY RENJAAN</t>
  </si>
  <si>
    <t>9109160403210001</t>
  </si>
  <si>
    <t>8107036811840001</t>
  </si>
  <si>
    <t>WELDEMINA MONEYAI</t>
  </si>
  <si>
    <t>BALATAN</t>
  </si>
  <si>
    <t>9109160708220001</t>
  </si>
  <si>
    <t>7302102104810001</t>
  </si>
  <si>
    <t>ISWAHYUDI</t>
  </si>
  <si>
    <t>BONTOMANAI</t>
  </si>
  <si>
    <t>7302014711830004</t>
  </si>
  <si>
    <t>HASBAYANTI</t>
  </si>
  <si>
    <t>GANJENGE</t>
  </si>
  <si>
    <t>7302016012060001</t>
  </si>
  <si>
    <t>RASTI ANANDA RUSDI</t>
  </si>
  <si>
    <t>9404164511230002</t>
  </si>
  <si>
    <t>ATHEERA SYAMSA BRILYANT</t>
  </si>
  <si>
    <t>9109010403110002</t>
  </si>
  <si>
    <t>9109012601720003</t>
  </si>
  <si>
    <t>JAN RICHARD DWAA</t>
  </si>
  <si>
    <t>9109015901770003</t>
  </si>
  <si>
    <t>ENDANG SAPTORINI</t>
  </si>
  <si>
    <t>9109010305110002</t>
  </si>
  <si>
    <t>JANSEN JORY ELIOR DWAA</t>
  </si>
  <si>
    <t>TANGERANG</t>
  </si>
  <si>
    <t>9109011501130003</t>
  </si>
  <si>
    <t>HEAVENLY NAOR DWAA</t>
  </si>
  <si>
    <t>9109012409140002</t>
  </si>
  <si>
    <t>PRIEL JONATHAN DWAA</t>
  </si>
  <si>
    <t>MARJA SAPPE</t>
  </si>
  <si>
    <t>7304032102180006</t>
  </si>
  <si>
    <t>7304033112850110</t>
  </si>
  <si>
    <t>MIRA NUR ILHAM</t>
  </si>
  <si>
    <t>7304035301850003</t>
  </si>
  <si>
    <t>SURIYANI</t>
  </si>
  <si>
    <t>BONTO-BONTO</t>
  </si>
  <si>
    <t>7304031305120001</t>
  </si>
  <si>
    <t>ARYA SAPUTRA</t>
  </si>
  <si>
    <t>7304032503180003</t>
  </si>
  <si>
    <t>MUH. NUR ADAM</t>
  </si>
  <si>
    <t>7304031701220001</t>
  </si>
  <si>
    <t>MUHAMMAD AFKAR NABIL</t>
  </si>
  <si>
    <t>9109161508180004</t>
  </si>
  <si>
    <t>9206111006860002</t>
  </si>
  <si>
    <t>MARTHEN KONDOLELE</t>
  </si>
  <si>
    <t>TORAJA</t>
  </si>
  <si>
    <t>9206116402880002</t>
  </si>
  <si>
    <t>YUSTINA PARUBAK</t>
  </si>
  <si>
    <t>7326025404070001</t>
  </si>
  <si>
    <t>ARILIANTO KONDOLELE</t>
  </si>
  <si>
    <t>BORI</t>
  </si>
  <si>
    <t>9206116512090002</t>
  </si>
  <si>
    <t>ALFALIA RUSE</t>
  </si>
  <si>
    <t>9109011106150008</t>
  </si>
  <si>
    <t>7104071609690004</t>
  </si>
  <si>
    <t>AMBROSIUS ONGKAY</t>
  </si>
  <si>
    <t>RINONDORAN</t>
  </si>
  <si>
    <t>7104074503760002</t>
  </si>
  <si>
    <t>MARHAINE TATUWO</t>
  </si>
  <si>
    <t>KARATUNG</t>
  </si>
  <si>
    <t>9109161201210008</t>
  </si>
  <si>
    <t>3504085706890001</t>
  </si>
  <si>
    <t>SRI WAHYU SUWITONINGSIH</t>
  </si>
  <si>
    <t>9109162210160002</t>
  </si>
  <si>
    <t>RAJENDRA TRI MAHARDIKA</t>
  </si>
  <si>
    <t>9109162309190007</t>
  </si>
  <si>
    <t>3522150706800006</t>
  </si>
  <si>
    <t>SUHARIYONO</t>
  </si>
  <si>
    <t>3522156909850002</t>
  </si>
  <si>
    <t>SRI WAHYUNINGSIH</t>
  </si>
  <si>
    <t>3522156307080001</t>
  </si>
  <si>
    <t>JULIA AYU PRADISTA</t>
  </si>
  <si>
    <t>3522156510140001</t>
  </si>
  <si>
    <t>AZALIA OKTA ENINDYA</t>
  </si>
  <si>
    <t>9109033107100026</t>
  </si>
  <si>
    <t>9109030208640001</t>
  </si>
  <si>
    <t>ABOUL RAHMAN</t>
  </si>
  <si>
    <t>9109035401710001</t>
  </si>
  <si>
    <t>NURJAYA</t>
  </si>
  <si>
    <t>PITUE</t>
  </si>
  <si>
    <t>9109035207950001</t>
  </si>
  <si>
    <t>NUR RAHMAH</t>
  </si>
  <si>
    <t>9109030105970001</t>
  </si>
  <si>
    <t>UMAR USMAN</t>
  </si>
  <si>
    <t>9109091210100029</t>
  </si>
  <si>
    <t>9109091202770001</t>
  </si>
  <si>
    <t>MUHAMAD ALI</t>
  </si>
  <si>
    <t>BLAMBANGAN</t>
  </si>
  <si>
    <t>9109094512750002</t>
  </si>
  <si>
    <t>MASFIAH</t>
  </si>
  <si>
    <t>SUKARAJA</t>
  </si>
  <si>
    <t>9109161309180008</t>
  </si>
  <si>
    <t>9109031408970001</t>
  </si>
  <si>
    <t>TOM POKNIYANGGE</t>
  </si>
  <si>
    <t>9109055203910001</t>
  </si>
  <si>
    <t>BOTALINA GUJANGGE</t>
  </si>
  <si>
    <t>9109164907160003</t>
  </si>
  <si>
    <t>PAULINA GRACELLA POKNIYANGGE</t>
  </si>
  <si>
    <t>9109010805100061</t>
  </si>
  <si>
    <t>9109012806660001</t>
  </si>
  <si>
    <t>DENNY IROTH</t>
  </si>
  <si>
    <t>9109016802680003</t>
  </si>
  <si>
    <t>FRANSYN TOAR</t>
  </si>
  <si>
    <t>7106080511930002</t>
  </si>
  <si>
    <t>RESA MARSELINO PONDAAG</t>
  </si>
  <si>
    <t>LEMBEAN</t>
  </si>
  <si>
    <t>9109161009190004</t>
  </si>
  <si>
    <t>9271054105850007</t>
  </si>
  <si>
    <t>INTAN DEVITA SARI</t>
  </si>
  <si>
    <t>9271051512110002</t>
  </si>
  <si>
    <t>HAFIZH AKILA AGIETHA FAUZI</t>
  </si>
  <si>
    <t>9109160403160007</t>
  </si>
  <si>
    <t>7271031909880004</t>
  </si>
  <si>
    <t>ANDREYANTO KUMAMPUNG</t>
  </si>
  <si>
    <t>9109014801920002</t>
  </si>
  <si>
    <t>VINY IROTH</t>
  </si>
  <si>
    <t>9109164601160002</t>
  </si>
  <si>
    <t>MICHEL IMANUELA KUMAMPUNG</t>
  </si>
  <si>
    <t>9109160501190001</t>
  </si>
  <si>
    <t>MICHAEL DANIEL KUMAMPUNG</t>
  </si>
  <si>
    <t>9109160612180001</t>
  </si>
  <si>
    <t>9109012011950003</t>
  </si>
  <si>
    <t>MUHAMMAD ASRUL</t>
  </si>
  <si>
    <t>9404162003220001</t>
  </si>
  <si>
    <t>MUHAMMAD ARYA AMINUDIN</t>
  </si>
  <si>
    <t>3212235008970001</t>
  </si>
  <si>
    <t>DANENGSIH</t>
  </si>
  <si>
    <t>9109031003110002</t>
  </si>
  <si>
    <t>9109031808780002</t>
  </si>
  <si>
    <t>SAVERIUS YAWA</t>
  </si>
  <si>
    <t>9109035808780003</t>
  </si>
  <si>
    <t>KLEMENSIA EPOKO</t>
  </si>
  <si>
    <t>9109035112940001</t>
  </si>
  <si>
    <t>YOSEFA YAWA</t>
  </si>
  <si>
    <t>9109035010970001</t>
  </si>
  <si>
    <t>ODALINA YAWA</t>
  </si>
  <si>
    <t>9109030405000002</t>
  </si>
  <si>
    <t>YAKOBUS YAWA</t>
  </si>
  <si>
    <t>9109032405030001</t>
  </si>
  <si>
    <t>NIKOLAUS YAWA</t>
  </si>
  <si>
    <t>9109034608050001</t>
  </si>
  <si>
    <t>BENEDIKTA YAWA</t>
  </si>
  <si>
    <t>9109034203070002</t>
  </si>
  <si>
    <t xml:space="preserve">ANASTASIA YAWA   </t>
  </si>
  <si>
    <t>9109161408120001</t>
  </si>
  <si>
    <t>YOHANIS YAWA</t>
  </si>
  <si>
    <t>KAMPUNG KAUGAPU</t>
  </si>
  <si>
    <t>9109160510140001</t>
  </si>
  <si>
    <t>EDISON YAWA</t>
  </si>
  <si>
    <t>KAMPLING KAUGAPU</t>
  </si>
  <si>
    <t>9109033107100031</t>
  </si>
  <si>
    <t>9109031001740001</t>
  </si>
  <si>
    <t>ISAK RERING</t>
  </si>
  <si>
    <t>9109035001740001</t>
  </si>
  <si>
    <t>YOLANDA RATULANGI</t>
  </si>
  <si>
    <t>SANGIR TALAUD</t>
  </si>
  <si>
    <t>9109031101970001</t>
  </si>
  <si>
    <t>JERRI RERING</t>
  </si>
  <si>
    <t>9109032602980001</t>
  </si>
  <si>
    <t>CALVIN RERING</t>
  </si>
  <si>
    <t>9109032401020001</t>
  </si>
  <si>
    <t>ARNOL RERING</t>
  </si>
  <si>
    <t>9109031707100026</t>
  </si>
  <si>
    <t>9109031502720001</t>
  </si>
  <si>
    <t>MUKMIN</t>
  </si>
  <si>
    <t>MODONG</t>
  </si>
  <si>
    <t xml:space="preserve">BURUH HARIAN LEPAS </t>
  </si>
  <si>
    <t>9109034204600001</t>
  </si>
  <si>
    <t>RIMBI MUJIATI</t>
  </si>
  <si>
    <t>9109036310960001</t>
  </si>
  <si>
    <t>NIKE OKTAVIA</t>
  </si>
  <si>
    <t>9109162010110001</t>
  </si>
  <si>
    <t>RIYANTO OKTAVIA</t>
  </si>
  <si>
    <t>AGAST</t>
  </si>
  <si>
    <t>9109010305100002</t>
  </si>
  <si>
    <t>9109012804570001</t>
  </si>
  <si>
    <t>ALFRED AUPARAY</t>
  </si>
  <si>
    <t>RT 10</t>
  </si>
  <si>
    <t>9109016201580001</t>
  </si>
  <si>
    <t>ELSYE FAIDIBAN</t>
  </si>
  <si>
    <t>9109011904920002</t>
  </si>
  <si>
    <t>YOHANES THE ODORUS AUPARAY</t>
  </si>
  <si>
    <t>9109011904920003</t>
  </si>
  <si>
    <t>THEOPHILOS KLEOPAS AUPARAY</t>
  </si>
  <si>
    <t>9109016001020001</t>
  </si>
  <si>
    <t>CUNIKE LOUIS AUPARAY</t>
  </si>
  <si>
    <t>9109016303050005</t>
  </si>
  <si>
    <t>MARSELINA B AUPARAY</t>
  </si>
  <si>
    <t>9109033107100036</t>
  </si>
  <si>
    <t>9109030705760001</t>
  </si>
  <si>
    <t>RUSLI</t>
  </si>
  <si>
    <t>9109036010770001</t>
  </si>
  <si>
    <t>9109031510060001</t>
  </si>
  <si>
    <t>MUHAMMAD RAMADHANI</t>
  </si>
  <si>
    <t>9109161311130001</t>
  </si>
  <si>
    <t>AHMAD MAULANI</t>
  </si>
  <si>
    <t>9109061108100006</t>
  </si>
  <si>
    <t>9109064801920001</t>
  </si>
  <si>
    <t>DELINA NIRIGI</t>
  </si>
  <si>
    <t>NOLIGI</t>
  </si>
  <si>
    <t>9109180903010001</t>
  </si>
  <si>
    <t>BEMBI GWIJANGGE</t>
  </si>
  <si>
    <t>9109032607100037</t>
  </si>
  <si>
    <t>9109031507780001</t>
  </si>
  <si>
    <t>KELANUS LOKBERE</t>
  </si>
  <si>
    <t>9109034405810001</t>
  </si>
  <si>
    <t>WELISINA LOKBERE</t>
  </si>
  <si>
    <t>9109034301050001</t>
  </si>
  <si>
    <t>LINAMINA LOKBERE</t>
  </si>
  <si>
    <t>9109030209080001</t>
  </si>
  <si>
    <t>ELMI LOKBERE</t>
  </si>
  <si>
    <t>9109035007110001</t>
  </si>
  <si>
    <t>ESTERINA LOKBERE</t>
  </si>
  <si>
    <t>9109035903140001</t>
  </si>
  <si>
    <t>ERLINA LOKBERE</t>
  </si>
  <si>
    <t>9109162911170011</t>
  </si>
  <si>
    <t>9109015608900006</t>
  </si>
  <si>
    <t>MARIA LENORA WAYAU</t>
  </si>
  <si>
    <t>9109164806120001</t>
  </si>
  <si>
    <t>ANASTASYA WAYAU</t>
  </si>
  <si>
    <t>9109164202140001</t>
  </si>
  <si>
    <t>TIARA WAYAU</t>
  </si>
  <si>
    <t>9109161910170001</t>
  </si>
  <si>
    <t>FABIYANUS WAYAU</t>
  </si>
  <si>
    <t>9109012901100250</t>
  </si>
  <si>
    <t>9109012303780013</t>
  </si>
  <si>
    <t>HENGKI AMISIM</t>
  </si>
  <si>
    <t>ARAMSOLKI</t>
  </si>
  <si>
    <t>9109014602840002</t>
  </si>
  <si>
    <t>ADOLFINA DOLI GUJANGGE</t>
  </si>
  <si>
    <t>9109015009050001</t>
  </si>
  <si>
    <t>SARAH AMISIM</t>
  </si>
  <si>
    <t>9109012302110003</t>
  </si>
  <si>
    <t>MARIUS VIERO AMISIM</t>
  </si>
  <si>
    <t>9109016304120002</t>
  </si>
  <si>
    <t>CHRISTINA MARIA VIANEY AMISIM</t>
  </si>
  <si>
    <t>9109033107100040</t>
  </si>
  <si>
    <t>9109030603660001</t>
  </si>
  <si>
    <t>AMBROSIUS CIMANTEM</t>
  </si>
  <si>
    <t>AGATS</t>
  </si>
  <si>
    <t>KATHOUK</t>
  </si>
  <si>
    <t>9109035409730001</t>
  </si>
  <si>
    <t>IMELDA YAWA</t>
  </si>
  <si>
    <t>9109032602970001</t>
  </si>
  <si>
    <t>YULIUS CIMANTEM</t>
  </si>
  <si>
    <t>PAUMAKO</t>
  </si>
  <si>
    <t>9109034609020001</t>
  </si>
  <si>
    <t>AMALIA CIMANTEM</t>
  </si>
  <si>
    <t>9109030103050001</t>
  </si>
  <si>
    <t>RUBEN CIMANTEM</t>
  </si>
  <si>
    <t>9109034606080001</t>
  </si>
  <si>
    <t>GENI ERNI CIMANTEM</t>
  </si>
  <si>
    <t>9109161412100001</t>
  </si>
  <si>
    <t>DELVIN CIMANTEM</t>
  </si>
  <si>
    <t>9109162102160002</t>
  </si>
  <si>
    <t>AMATUS CIMANTEM YAWA</t>
  </si>
  <si>
    <t>9109160506180004</t>
  </si>
  <si>
    <t>BERNADUS CIMANTEM YAWA</t>
  </si>
  <si>
    <t>9109032810100002</t>
  </si>
  <si>
    <t>9109030608760001</t>
  </si>
  <si>
    <t>ELIAS YAWA</t>
  </si>
  <si>
    <t>9109034807690002</t>
  </si>
  <si>
    <t>HARITNA RATULANGI</t>
  </si>
  <si>
    <t>SHANGIHER TALAUD</t>
  </si>
  <si>
    <t>9109032205920002</t>
  </si>
  <si>
    <t>HERMAN YAWA</t>
  </si>
  <si>
    <t>9109034505020001</t>
  </si>
  <si>
    <t>FLANDINA YAWA</t>
  </si>
  <si>
    <t>9109036903030001</t>
  </si>
  <si>
    <t>CLARA MARGARETHA YAWA</t>
  </si>
  <si>
    <t>9109162002190005</t>
  </si>
  <si>
    <t>9109010704920017</t>
  </si>
  <si>
    <t>MUSA SADA</t>
  </si>
  <si>
    <t>9109034105910001</t>
  </si>
  <si>
    <t>BERLINDA CIMANTEM</t>
  </si>
  <si>
    <t>PULAU KERAKA</t>
  </si>
  <si>
    <t>9109160507130001</t>
  </si>
  <si>
    <t>LIES SALOME SADA</t>
  </si>
  <si>
    <t>9109162503150004</t>
  </si>
  <si>
    <t>MAYOR IRWA ELIAS SADA</t>
  </si>
  <si>
    <t>9109166402160003</t>
  </si>
  <si>
    <t>RUTI BINSYOWI SADA</t>
  </si>
  <si>
    <t>9109162010190005</t>
  </si>
  <si>
    <t>AVAN YORAM SADA</t>
  </si>
  <si>
    <t>9404163004250003</t>
  </si>
  <si>
    <t>9109015002030005</t>
  </si>
  <si>
    <t>LUDYWINA ANGGAIBAK</t>
  </si>
  <si>
    <t xml:space="preserve">FAMILI LAIN </t>
  </si>
  <si>
    <t>9109033107100013</t>
  </si>
  <si>
    <t>9109030810800001</t>
  </si>
  <si>
    <t>OETTO ANTHON AUPARAY</t>
  </si>
  <si>
    <t>9109034307860001</t>
  </si>
  <si>
    <t>TELINA NERIGI</t>
  </si>
  <si>
    <t>9109035107020001</t>
  </si>
  <si>
    <t>BILTON GWIJANGGE</t>
  </si>
  <si>
    <t>9109034708100001</t>
  </si>
  <si>
    <t>VIRGINITA AUPARAY GWIJANGGE</t>
  </si>
  <si>
    <t>9109162212180002</t>
  </si>
  <si>
    <t>NIMROD NAGHO AUPARAY GWIJANGGE</t>
  </si>
  <si>
    <t>KOMORDAM</t>
  </si>
  <si>
    <t>9404160910230003</t>
  </si>
  <si>
    <t>9109034307030001</t>
  </si>
  <si>
    <t>YURINA WESAREAK</t>
  </si>
  <si>
    <t>9404165306210001</t>
  </si>
  <si>
    <t>JENIFER DINA WANDIKBO</t>
  </si>
  <si>
    <t>9404161211230002</t>
  </si>
  <si>
    <t>DARON TIMO WANDIKBO</t>
  </si>
  <si>
    <t>9109033107100017</t>
  </si>
  <si>
    <t>9109030403680001</t>
  </si>
  <si>
    <t>ESS LOKBERE</t>
  </si>
  <si>
    <t>9109034603820002</t>
  </si>
  <si>
    <t>FILIPINA DIPAK</t>
  </si>
  <si>
    <t>9109036512040001</t>
  </si>
  <si>
    <t>NOVITA LOKBERE</t>
  </si>
  <si>
    <t>9109031807070001</t>
  </si>
  <si>
    <t>OTIANUS LOKBERE</t>
  </si>
  <si>
    <t>9109032707070003</t>
  </si>
  <si>
    <t>ESON LOKBERE</t>
  </si>
  <si>
    <t>9109033107100027</t>
  </si>
  <si>
    <t>9109031201600001</t>
  </si>
  <si>
    <t>BOAS WANDIKBO</t>
  </si>
  <si>
    <t>9109034202760001</t>
  </si>
  <si>
    <t>ELINA WANDIKBO</t>
  </si>
  <si>
    <t>9109030303990001</t>
  </si>
  <si>
    <t>FRENGKY WANDIKBO</t>
  </si>
  <si>
    <t>9109034303020001</t>
  </si>
  <si>
    <t>WIWIN WANDIKBO</t>
  </si>
  <si>
    <t>9109032306930001</t>
  </si>
  <si>
    <t>KARTO LOKBERE</t>
  </si>
  <si>
    <t>MAPINDUMA</t>
  </si>
  <si>
    <t>9109161601190011</t>
  </si>
  <si>
    <t>9109164309750001</t>
  </si>
  <si>
    <t>ROPINA LEREHEM</t>
  </si>
  <si>
    <t>9109160411200003</t>
  </si>
  <si>
    <t>9109160807000001</t>
  </si>
  <si>
    <t>SANGKAR LOKBERE</t>
  </si>
  <si>
    <t>9109033107100022</t>
  </si>
  <si>
    <t>9109031903740001</t>
  </si>
  <si>
    <t>YANCE POKNEANGGE</t>
  </si>
  <si>
    <t>9109034507770003</t>
  </si>
  <si>
    <t>OLINI LOKBERE</t>
  </si>
  <si>
    <t>9109031903050001</t>
  </si>
  <si>
    <t>BRIO POKNEANGGE</t>
  </si>
  <si>
    <t>9109160112080001</t>
  </si>
  <si>
    <t>RIO WANDIKBO</t>
  </si>
  <si>
    <t>9109167007100002</t>
  </si>
  <si>
    <t>ANISA WANDIKBO</t>
  </si>
  <si>
    <t>9109034106110002</t>
  </si>
  <si>
    <t>JESIKA POKNEANGGE</t>
  </si>
  <si>
    <t>9109033107100012</t>
  </si>
  <si>
    <t>9109031707700002</t>
  </si>
  <si>
    <t>BERNADUS YAWA</t>
  </si>
  <si>
    <t>LAKJ-LAKI</t>
  </si>
  <si>
    <t>9109034411690001</t>
  </si>
  <si>
    <t>APOLONIA IWITIYU</t>
  </si>
  <si>
    <t>MWARE</t>
  </si>
  <si>
    <t>9109034304930001</t>
  </si>
  <si>
    <t>ANTONETA YAWA</t>
  </si>
  <si>
    <t>9109035003970001</t>
  </si>
  <si>
    <t>CLARA YAVVA</t>
  </si>
  <si>
    <t>9109035409990001</t>
  </si>
  <si>
    <t>MARLINA KARITAS YAWA</t>
  </si>
  <si>
    <t>9109034802060002</t>
  </si>
  <si>
    <t>AKNES FEBRIANA YAWA</t>
  </si>
  <si>
    <t>9109035812070002</t>
  </si>
  <si>
    <t>DESI NA TALIA YAWA</t>
  </si>
  <si>
    <t>9109011805100142</t>
  </si>
  <si>
    <t>9109011004820007</t>
  </si>
  <si>
    <t>UJANG ABDUL RAHMAN</t>
  </si>
  <si>
    <t>SUKABUMI</t>
  </si>
  <si>
    <t>9109016904830003</t>
  </si>
  <si>
    <t>ELMA LALAO</t>
  </si>
  <si>
    <t>9109016109080006</t>
  </si>
  <si>
    <t>AMANDA LALAO</t>
  </si>
  <si>
    <t>TABANG</t>
  </si>
  <si>
    <t>9109016005110010</t>
  </si>
  <si>
    <t>ANDINI ELYANA RAHMAN</t>
  </si>
  <si>
    <t>SANGER</t>
  </si>
  <si>
    <t>9109033107100045</t>
  </si>
  <si>
    <t>9109036005630001</t>
  </si>
  <si>
    <t>LERINA WANDIKBO</t>
  </si>
  <si>
    <t>9109034808840001</t>
  </si>
  <si>
    <t>PITORINA WESAREAK</t>
  </si>
  <si>
    <t>9109034101850003</t>
  </si>
  <si>
    <t>RUPITA WESAREAK</t>
  </si>
  <si>
    <t>9109032206870003</t>
  </si>
  <si>
    <t>KIRANUS WESAREAK</t>
  </si>
  <si>
    <t>9109038106880001</t>
  </si>
  <si>
    <t>EMMA NRIGI</t>
  </si>
  <si>
    <t>JIT A</t>
  </si>
  <si>
    <t>9103034603930001</t>
  </si>
  <si>
    <t>OKOLINA WESAREAK</t>
  </si>
  <si>
    <t>9109034609980001</t>
  </si>
  <si>
    <t>APRIANA WESAREAK</t>
  </si>
  <si>
    <t>9109032002720001</t>
  </si>
  <si>
    <t>ANDARIAS DATAWALLY</t>
  </si>
  <si>
    <t>9109030504910001</t>
  </si>
  <si>
    <t>KARTO NIRIGI</t>
  </si>
  <si>
    <t>MAPEDUMA</t>
  </si>
  <si>
    <t>9109161709180003</t>
  </si>
  <si>
    <t>9109160206780001</t>
  </si>
  <si>
    <t>SUANTO</t>
  </si>
  <si>
    <t>WAYAN</t>
  </si>
  <si>
    <t>9109164407160002</t>
  </si>
  <si>
    <t>LESTARI</t>
  </si>
  <si>
    <t>9109011802110010</t>
  </si>
  <si>
    <t>9109011403830012</t>
  </si>
  <si>
    <t>MARTHEN MAHERE</t>
  </si>
  <si>
    <t>9109014510810009</t>
  </si>
  <si>
    <t>MERRY GWIJANGGE</t>
  </si>
  <si>
    <t>9109011509080002</t>
  </si>
  <si>
    <t>YOHANIS MAHERE</t>
  </si>
  <si>
    <t>910903280610003</t>
  </si>
  <si>
    <t>9109031208830001</t>
  </si>
  <si>
    <t>YEMENUS BISIKBO</t>
  </si>
  <si>
    <t>RT 11</t>
  </si>
  <si>
    <t>9109034608900001</t>
  </si>
  <si>
    <t>YOTIANA BISIKBO</t>
  </si>
  <si>
    <t>9109030809080001</t>
  </si>
  <si>
    <t>KELVIN BISIKBO</t>
  </si>
  <si>
    <t>9109030807900001</t>
  </si>
  <si>
    <t>SONDIANTO BISIKBO</t>
  </si>
  <si>
    <t>9109030307940001</t>
  </si>
  <si>
    <t>WANDE BISIKBO</t>
  </si>
  <si>
    <t>APTAM</t>
  </si>
  <si>
    <t>9109030809900001</t>
  </si>
  <si>
    <t>ABIEL NIRIGI</t>
  </si>
  <si>
    <t>9109052506100001</t>
  </si>
  <si>
    <t>9109050602810001</t>
  </si>
  <si>
    <t>SEM NIRIGI</t>
  </si>
  <si>
    <t>9109054305840001</t>
  </si>
  <si>
    <t>YUSAMINA GWIJANGGE</t>
  </si>
  <si>
    <t>9109050412020001</t>
  </si>
  <si>
    <t>BARNI NIRIGI</t>
  </si>
  <si>
    <t>9109054910050001</t>
  </si>
  <si>
    <t>IRINI NIRIGI</t>
  </si>
  <si>
    <t>9109055708070001</t>
  </si>
  <si>
    <t>IRENE NIRIGI</t>
  </si>
  <si>
    <t>9109052503090001</t>
  </si>
  <si>
    <t>DARSON NIRIGI</t>
  </si>
  <si>
    <t>9109050204140001</t>
  </si>
  <si>
    <t>RUBEN NIRIGI</t>
  </si>
  <si>
    <t>9109055906180001</t>
  </si>
  <si>
    <t>GRECK BELSEMALI NIRIGI</t>
  </si>
  <si>
    <t>9109161106190013</t>
  </si>
  <si>
    <t>9109160601010001</t>
  </si>
  <si>
    <t>MANCAN GWIJANGGE</t>
  </si>
  <si>
    <t>9109165609040001</t>
  </si>
  <si>
    <t>PARIANA ARAMBO</t>
  </si>
  <si>
    <t>KURUPMU</t>
  </si>
  <si>
    <t>9109160704070002</t>
  </si>
  <si>
    <t>RINGGANUS ARABO</t>
  </si>
  <si>
    <t>9109166611100002</t>
  </si>
  <si>
    <t>ANYA ARAMBO</t>
  </si>
  <si>
    <t>9109162611100001</t>
  </si>
  <si>
    <t>OLY ARAMBO</t>
  </si>
  <si>
    <t>9109163010130001</t>
  </si>
  <si>
    <t>ABERTDE ARAMBO</t>
  </si>
  <si>
    <t>9109164606150003</t>
  </si>
  <si>
    <t>MARTA ARAMBO</t>
  </si>
  <si>
    <t>9109165211190001</t>
  </si>
  <si>
    <t>ESYBAN KOGOYA</t>
  </si>
  <si>
    <t>9109031412100028</t>
  </si>
  <si>
    <t>9109035710680001</t>
  </si>
  <si>
    <t>KERESINA GWIJANGGE</t>
  </si>
  <si>
    <t>9109032810830001</t>
  </si>
  <si>
    <t>GELPINUS TINI</t>
  </si>
  <si>
    <t>9109035907900002</t>
  </si>
  <si>
    <t>PONINA TINI</t>
  </si>
  <si>
    <t>NOWEMA</t>
  </si>
  <si>
    <t>9109035912950001</t>
  </si>
  <si>
    <t>9109031002990001</t>
  </si>
  <si>
    <t>KASCEL TINI</t>
  </si>
  <si>
    <t>9109032412040001</t>
  </si>
  <si>
    <t>JENIUS TINI</t>
  </si>
  <si>
    <t>9109032001060001</t>
  </si>
  <si>
    <t>PERANSI TINI</t>
  </si>
  <si>
    <t>9109160603200003</t>
  </si>
  <si>
    <t>9109014208780004</t>
  </si>
  <si>
    <t>PIPINA NIRIGI</t>
  </si>
  <si>
    <t>9109017112000006</t>
  </si>
  <si>
    <t>SANTI AMISIM</t>
  </si>
  <si>
    <t>9109014304030011</t>
  </si>
  <si>
    <t>MACDA AMISIM</t>
  </si>
  <si>
    <t>9109015212050008</t>
  </si>
  <si>
    <t>RICKA AMISIM</t>
  </si>
  <si>
    <t>9109011504090006</t>
  </si>
  <si>
    <t>ALEX POSMENAP AMISIM</t>
  </si>
  <si>
    <t>9109160308120002</t>
  </si>
  <si>
    <t>JHORAM ARUM AMISIM</t>
  </si>
  <si>
    <t>9109164309160001</t>
  </si>
  <si>
    <t>EVA CRISTINA AMISIM</t>
  </si>
  <si>
    <t>9109161412180001</t>
  </si>
  <si>
    <t>9109010905920004</t>
  </si>
  <si>
    <t>GAMANUS GWIJANGGE</t>
  </si>
  <si>
    <t>9109034107950001</t>
  </si>
  <si>
    <t>DEMINA TABUNI</t>
  </si>
  <si>
    <t>9109032306100001</t>
  </si>
  <si>
    <t>9109034804650001</t>
  </si>
  <si>
    <t>MALINA WASAREAK</t>
  </si>
  <si>
    <t>9109034612890001</t>
  </si>
  <si>
    <t>ERLINCE WASAREAK</t>
  </si>
  <si>
    <t>9109031005100004</t>
  </si>
  <si>
    <t>9109030501580001</t>
  </si>
  <si>
    <t>YAKOBUS NIRIGI</t>
  </si>
  <si>
    <t>TAWOLMA</t>
  </si>
  <si>
    <t>9109034806550001</t>
  </si>
  <si>
    <t>EVA GWIJANGGE</t>
  </si>
  <si>
    <t>9109030510820003</t>
  </si>
  <si>
    <t>MINTALIS NIRIGI</t>
  </si>
  <si>
    <t>9109034508850002</t>
  </si>
  <si>
    <t>TALINA NIRIGI</t>
  </si>
  <si>
    <t>9109036008920001</t>
  </si>
  <si>
    <t>BOTALINA</t>
  </si>
  <si>
    <t>9109161409200009</t>
  </si>
  <si>
    <t>9109164808910001</t>
  </si>
  <si>
    <t>URIN WANDIKBO</t>
  </si>
  <si>
    <t>DUGWISO</t>
  </si>
  <si>
    <t>SUTRIANI NIRIGI</t>
  </si>
  <si>
    <t>9109032807100017</t>
  </si>
  <si>
    <t>9109032206690001</t>
  </si>
  <si>
    <t>NICOLAUS NIRIGI</t>
  </si>
  <si>
    <t>9109035212820003</t>
  </si>
  <si>
    <t>NOIT MELANGEN</t>
  </si>
  <si>
    <t>9109036905030001</t>
  </si>
  <si>
    <t>MELIANA NIRIGI</t>
  </si>
  <si>
    <t>9109035404060001</t>
  </si>
  <si>
    <t>AFRIDA NIRIGI</t>
  </si>
  <si>
    <t>9109035009100002</t>
  </si>
  <si>
    <t>FRISKA NIRIGI</t>
  </si>
  <si>
    <t>9109031008890001</t>
  </si>
  <si>
    <t>LIMAS MELANGGEN</t>
  </si>
  <si>
    <t>9109162301200006</t>
  </si>
  <si>
    <t>9109030107990001</t>
  </si>
  <si>
    <t>NATALIS LEREYEM</t>
  </si>
  <si>
    <t>9109034807980002</t>
  </si>
  <si>
    <t>FLORIDA FASIPITS</t>
  </si>
  <si>
    <t>9109160905070001</t>
  </si>
  <si>
    <t>FIKARIS LEREYEM</t>
  </si>
  <si>
    <t>9109162009170005</t>
  </si>
  <si>
    <t>JAYHASSI LEREYEM</t>
  </si>
  <si>
    <t>9109165001190003</t>
  </si>
  <si>
    <t>FARISTA MEIANESIA LEREYEM</t>
  </si>
  <si>
    <t>9109030512140001</t>
  </si>
  <si>
    <t>9109032008900001</t>
  </si>
  <si>
    <t>OTO GWIJANGGE</t>
  </si>
  <si>
    <t>9109034604940001</t>
  </si>
  <si>
    <t>SINCE NIRIGI</t>
  </si>
  <si>
    <t>9109032609140001</t>
  </si>
  <si>
    <t>LANO DAVIDSON GWIJANGGE</t>
  </si>
  <si>
    <t>9109032211100006</t>
  </si>
  <si>
    <t>9109032801870001</t>
  </si>
  <si>
    <t>BARTELINUS POKNIANGGE</t>
  </si>
  <si>
    <t>9109035205890002</t>
  </si>
  <si>
    <t>WINCE GWIJANGGE</t>
  </si>
  <si>
    <t>YIGI</t>
  </si>
  <si>
    <t>9109030602110001</t>
  </si>
  <si>
    <t>GERSOM POKNIANGGE</t>
  </si>
  <si>
    <t>9109036802920004</t>
  </si>
  <si>
    <t>BARTELINA POKNIANGGE</t>
  </si>
  <si>
    <t>9109160403160009</t>
  </si>
  <si>
    <t>9109031308860001</t>
  </si>
  <si>
    <t>9109015901890003</t>
  </si>
  <si>
    <t>LEDDY GWIJANGGE</t>
  </si>
  <si>
    <t>9109166912180003</t>
  </si>
  <si>
    <t>SHILENE GEORGIA NIRIGI</t>
  </si>
  <si>
    <t>9109032611100001</t>
  </si>
  <si>
    <t>9109031509860001</t>
  </si>
  <si>
    <t>YOHAN NIRIGI</t>
  </si>
  <si>
    <t>SOROWAMA</t>
  </si>
  <si>
    <t>9109035210890002</t>
  </si>
  <si>
    <t>ASAN GWIJANGGE</t>
  </si>
  <si>
    <t>9109032401120001</t>
  </si>
  <si>
    <t>JECKSON FEBYANTO NIRIGI</t>
  </si>
  <si>
    <t>9109031610130001</t>
  </si>
  <si>
    <t>IMANUEL ABNER ELIA NIRIGI</t>
  </si>
  <si>
    <t>9109160802210002</t>
  </si>
  <si>
    <t>9109034306980001</t>
  </si>
  <si>
    <t>NESTY WESAREAK</t>
  </si>
  <si>
    <t>9109035005990001</t>
  </si>
  <si>
    <t>NEIN WESAREAK</t>
  </si>
  <si>
    <t>9109161709150005</t>
  </si>
  <si>
    <t>9109031712910001</t>
  </si>
  <si>
    <t>NIEL WANDIKBO</t>
  </si>
  <si>
    <t>9109034602940001</t>
  </si>
  <si>
    <t>LUMARA LOKBERE</t>
  </si>
  <si>
    <t>9109164112130001</t>
  </si>
  <si>
    <t>AKILA PERESIA WANDIKBO</t>
  </si>
  <si>
    <t>9109162808150001</t>
  </si>
  <si>
    <t>NOSARIA WANDIKBO</t>
  </si>
  <si>
    <t>9109050709100001</t>
  </si>
  <si>
    <t>9109051002760001</t>
  </si>
  <si>
    <t>YAFET NIRIGI</t>
  </si>
  <si>
    <t>9109054608840002</t>
  </si>
  <si>
    <t>9109056001070001</t>
  </si>
  <si>
    <t>SERLIN SERLINA NIRIGI</t>
  </si>
  <si>
    <t>9109055402090002</t>
  </si>
  <si>
    <t>REMINA NIRIGI</t>
  </si>
  <si>
    <t>9109051708100001</t>
  </si>
  <si>
    <t>YASON NIRIGI</t>
  </si>
  <si>
    <t>9109055512120001</t>
  </si>
  <si>
    <t>MEA ASERA NIRIGI</t>
  </si>
  <si>
    <t>9109160209160001</t>
  </si>
  <si>
    <t>APOLOS NIRIGI</t>
  </si>
  <si>
    <t>9109160206190002</t>
  </si>
  <si>
    <t>ADAM RONY NIRIGI</t>
  </si>
  <si>
    <t>9109032707110001</t>
  </si>
  <si>
    <t>9109031903880001</t>
  </si>
  <si>
    <t>APTORO LOKBERE</t>
  </si>
  <si>
    <t>PILOT</t>
  </si>
  <si>
    <t>9109056612920001</t>
  </si>
  <si>
    <t>DESI WANDIKBO</t>
  </si>
  <si>
    <t>9109162001130001</t>
  </si>
  <si>
    <t>HERSON AVIATOR ABEDNEGO GWIJANGGE</t>
  </si>
  <si>
    <t>9109033107100032</t>
  </si>
  <si>
    <t>9109031705740001</t>
  </si>
  <si>
    <t>MEIYANUS TABUNI</t>
  </si>
  <si>
    <t>9109034406880002</t>
  </si>
  <si>
    <t>ENGGALIAK LOKBERE</t>
  </si>
  <si>
    <t>9109162506180001</t>
  </si>
  <si>
    <t>DEMINUS WANDIKBO</t>
  </si>
  <si>
    <t>9109032404890001</t>
  </si>
  <si>
    <t>ELLY Q. ANGGE NIRIGI</t>
  </si>
  <si>
    <t>9109035307890001</t>
  </si>
  <si>
    <t>PITALIA BISIKBO</t>
  </si>
  <si>
    <t>9109030508900001</t>
  </si>
  <si>
    <t>ONGENJEPSON TABUNI</t>
  </si>
  <si>
    <t>KOSOIPEM</t>
  </si>
  <si>
    <t>9109030506910001</t>
  </si>
  <si>
    <t>NINDIKEBAK BISIKBO</t>
  </si>
  <si>
    <t>9109032608920004</t>
  </si>
  <si>
    <t>NOLI WANDIK</t>
  </si>
  <si>
    <t>9109032606100021</t>
  </si>
  <si>
    <t>9109030808700002</t>
  </si>
  <si>
    <t>NASIL NIRIGI</t>
  </si>
  <si>
    <t>9109035506750002</t>
  </si>
  <si>
    <t>DORCI GWIJANGGE</t>
  </si>
  <si>
    <t>9109034111970001</t>
  </si>
  <si>
    <t>NOLINCE NIRIGI</t>
  </si>
  <si>
    <t>9109030208040001</t>
  </si>
  <si>
    <t>ELIHUT NIRIGI</t>
  </si>
  <si>
    <t>9109032412080002</t>
  </si>
  <si>
    <t>SIMION SIMON PETRUS NIRIGI</t>
  </si>
  <si>
    <t>9109165106110001</t>
  </si>
  <si>
    <t>REY NIRIGI</t>
  </si>
  <si>
    <t>9109165109130001</t>
  </si>
  <si>
    <t>REGINA INNA NIRIGI</t>
  </si>
  <si>
    <t>9109160302160002</t>
  </si>
  <si>
    <t>ALEXS KRISTOVER NIRIGI</t>
  </si>
  <si>
    <t>9109160604060001</t>
  </si>
  <si>
    <t>APRIL JUPENTUS HO NIRIGI</t>
  </si>
  <si>
    <t>9109031412100003</t>
  </si>
  <si>
    <t>9109032608920003</t>
  </si>
  <si>
    <t>YOAS WANDIK</t>
  </si>
  <si>
    <t>PROMOTOR ACARA</t>
  </si>
  <si>
    <t>9109036108900001</t>
  </si>
  <si>
    <t>NONCE WANDIKBO</t>
  </si>
  <si>
    <t>9109903020900002</t>
  </si>
  <si>
    <t>TRIONO NIRIGI</t>
  </si>
  <si>
    <t>9109031012120001</t>
  </si>
  <si>
    <t>DIAN SAPUTRA WANDIK</t>
  </si>
  <si>
    <t>9109032105140002</t>
  </si>
  <si>
    <t>DIANUS RAMLI WANDIK</t>
  </si>
  <si>
    <t>9109031606970001</t>
  </si>
  <si>
    <t>9109033107100035</t>
  </si>
  <si>
    <t>9109030309760001</t>
  </si>
  <si>
    <t>YEREMIAS TINI</t>
  </si>
  <si>
    <t>9109035505860001</t>
  </si>
  <si>
    <t>RORIA TINI</t>
  </si>
  <si>
    <t>9109031101050001</t>
  </si>
  <si>
    <t>KREGON TINI</t>
  </si>
  <si>
    <t>9109031706080001</t>
  </si>
  <si>
    <t>LAKIMEN TINI</t>
  </si>
  <si>
    <t>9109164712100001</t>
  </si>
  <si>
    <t xml:space="preserve">KARMILA </t>
  </si>
  <si>
    <t>9109166601140003</t>
  </si>
  <si>
    <t>CARAH TINI</t>
  </si>
  <si>
    <t>9109166602140002</t>
  </si>
  <si>
    <t>IRPANA TINI</t>
  </si>
  <si>
    <t>9109032606100017</t>
  </si>
  <si>
    <t>9109031811780001</t>
  </si>
  <si>
    <t>PAKELUS GWIYANGGE</t>
  </si>
  <si>
    <t>9109035210800001</t>
  </si>
  <si>
    <t>DIANA GWIYANGGE</t>
  </si>
  <si>
    <t>9109036112840001</t>
  </si>
  <si>
    <t>MARIA GWIYANGGE</t>
  </si>
  <si>
    <t>9109031709880001</t>
  </si>
  <si>
    <t>NAMANUS TABUNI</t>
  </si>
  <si>
    <t>9109035607970001</t>
  </si>
  <si>
    <t>ELANBURU TABUNI</t>
  </si>
  <si>
    <t>9109033004040001</t>
  </si>
  <si>
    <t>BOPIT TABUNI</t>
  </si>
  <si>
    <t>9109035903070001</t>
  </si>
  <si>
    <t>MINA GWIYANGGE</t>
  </si>
  <si>
    <t>9109032807100039</t>
  </si>
  <si>
    <t>9109030801800001</t>
  </si>
  <si>
    <t>AYUB WANDIKBO</t>
  </si>
  <si>
    <t>9109034103760001</t>
  </si>
  <si>
    <t>LIDIYA GWIJANGGE</t>
  </si>
  <si>
    <t>9109030303020001</t>
  </si>
  <si>
    <t>PAIT WANDIKBO</t>
  </si>
  <si>
    <t>9109035111060001</t>
  </si>
  <si>
    <t>DEWINA WANDIKBO</t>
  </si>
  <si>
    <t>9109032011070001</t>
  </si>
  <si>
    <t>ANIS WANDIKBO</t>
  </si>
  <si>
    <t>9109031608080001</t>
  </si>
  <si>
    <t>TOMPILOS WANDIKBO</t>
  </si>
  <si>
    <t>9109050711170005</t>
  </si>
  <si>
    <t>9109051611730001</t>
  </si>
  <si>
    <t>DEMAS GWIJANGGE</t>
  </si>
  <si>
    <t>9109054101950002</t>
  </si>
  <si>
    <t>AKOLINA TABUNI</t>
  </si>
  <si>
    <t>9109054604970001</t>
  </si>
  <si>
    <t>MEANA GWIJANGGE</t>
  </si>
  <si>
    <t>9109054808980001</t>
  </si>
  <si>
    <t>BERTA GWIJANGGE</t>
  </si>
  <si>
    <t>9109050606100001</t>
  </si>
  <si>
    <t>OBETA GWIJANGGE</t>
  </si>
  <si>
    <t>9109054301120001</t>
  </si>
  <si>
    <t>JEFRIANA GWIJANGGE</t>
  </si>
  <si>
    <t>9109054605140002</t>
  </si>
  <si>
    <t>STEFEN GWIJANGGE</t>
  </si>
  <si>
    <t>9109054400464001</t>
  </si>
  <si>
    <t>9109161803190012</t>
  </si>
  <si>
    <t>9109032010960001</t>
  </si>
  <si>
    <t>LUREN LOKBERE</t>
  </si>
  <si>
    <t>9109164107020002</t>
  </si>
  <si>
    <t>DETIANA KOGOYA</t>
  </si>
  <si>
    <t>LANGGOBUGA</t>
  </si>
  <si>
    <t>9109030206210001</t>
  </si>
  <si>
    <t>9109030606910001</t>
  </si>
  <si>
    <t>YENIUS POKMIANGGE</t>
  </si>
  <si>
    <t>9109161910160002</t>
  </si>
  <si>
    <t>AGAR POKMIANGGE</t>
  </si>
  <si>
    <t>9109166011170002</t>
  </si>
  <si>
    <t>DESMA POKMIANGGE</t>
  </si>
  <si>
    <t>9109166011170001</t>
  </si>
  <si>
    <t>DELINA POKMIANGGE</t>
  </si>
  <si>
    <t>9109032607100035</t>
  </si>
  <si>
    <t>9109032102720001</t>
  </si>
  <si>
    <t>ANTON TABUNI</t>
  </si>
  <si>
    <t>9109034301770001</t>
  </si>
  <si>
    <t>ROSALI TABUNI</t>
  </si>
  <si>
    <t>9109030305900002</t>
  </si>
  <si>
    <t>OTIS TABUNI</t>
  </si>
  <si>
    <t>9109034303970001</t>
  </si>
  <si>
    <t>NIRIKIMIN TABUNI</t>
  </si>
  <si>
    <t>9109034403990001</t>
  </si>
  <si>
    <t>NANITA TABUNI</t>
  </si>
  <si>
    <t>9109034906010001</t>
  </si>
  <si>
    <t>SISNA TABUNI</t>
  </si>
  <si>
    <t>9109034311040001</t>
  </si>
  <si>
    <t>ELIN TABUNI</t>
  </si>
  <si>
    <t>9109030112070002</t>
  </si>
  <si>
    <t>SALEH TABUNI</t>
  </si>
  <si>
    <t>9109030112070003</t>
  </si>
  <si>
    <t>NASE TABUNI</t>
  </si>
  <si>
    <t>9109036404900001</t>
  </si>
  <si>
    <t>ORSALI ARABO</t>
  </si>
  <si>
    <t>9109032710100001</t>
  </si>
  <si>
    <t>9109030309590001</t>
  </si>
  <si>
    <t>NICO LOKBERE</t>
  </si>
  <si>
    <t>KUNDUMBO</t>
  </si>
  <si>
    <t>9109035801680002</t>
  </si>
  <si>
    <t>DINA WANDIKBO</t>
  </si>
  <si>
    <t>9109031105880001</t>
  </si>
  <si>
    <t>NAKI LOKOMBRE</t>
  </si>
  <si>
    <t>9109035308070001</t>
  </si>
  <si>
    <t>OSELYNA LOKBRE</t>
  </si>
  <si>
    <t>9109030304880001</t>
  </si>
  <si>
    <t>OBIANUS WANDIKBO</t>
  </si>
  <si>
    <t>9109052606100007</t>
  </si>
  <si>
    <t>9109050106800002</t>
  </si>
  <si>
    <t>KELOPAS TINI</t>
  </si>
  <si>
    <t>9109054512850001</t>
  </si>
  <si>
    <t>YIBOHA GWIJANGGE</t>
  </si>
  <si>
    <t>9109051604910001</t>
  </si>
  <si>
    <t>OSEN TINI</t>
  </si>
  <si>
    <t>9109050104080001</t>
  </si>
  <si>
    <t>OMBO TINI</t>
  </si>
  <si>
    <t>9109050102090001</t>
  </si>
  <si>
    <t>DENIS TINI</t>
  </si>
  <si>
    <t>91099031107110001</t>
  </si>
  <si>
    <t>9109030107670004</t>
  </si>
  <si>
    <t>YAHYA LEREYEM</t>
  </si>
  <si>
    <t>TAWI</t>
  </si>
  <si>
    <t>9109035003720003</t>
  </si>
  <si>
    <t>9109030107950003</t>
  </si>
  <si>
    <t>NATAN LEREYEM</t>
  </si>
  <si>
    <t>9109030107970001</t>
  </si>
  <si>
    <t>NAYANUS LEREYEM</t>
  </si>
  <si>
    <t>9109163105970001</t>
  </si>
  <si>
    <t>NAFTALI LEREYEM</t>
  </si>
  <si>
    <t>9109030107990002</t>
  </si>
  <si>
    <t>ROBI</t>
  </si>
  <si>
    <t>9109032606100030</t>
  </si>
  <si>
    <t>9109031206710001</t>
  </si>
  <si>
    <t>JHONI NIRIGI</t>
  </si>
  <si>
    <t>9109035404780001</t>
  </si>
  <si>
    <t>KALO BEANAL</t>
  </si>
  <si>
    <t>9109030404960001</t>
  </si>
  <si>
    <t>FRENGKI NIRIGI</t>
  </si>
  <si>
    <t>9109031012000002</t>
  </si>
  <si>
    <t>ACO NIRIGI</t>
  </si>
  <si>
    <t>9109035104060001</t>
  </si>
  <si>
    <t>EMEN NIRIGI</t>
  </si>
  <si>
    <t>9109162203070001</t>
  </si>
  <si>
    <t>EDI NIRIGI</t>
  </si>
  <si>
    <t>9109166010080001</t>
  </si>
  <si>
    <t>VANESYA NIRIGI</t>
  </si>
  <si>
    <t>9109162609140003</t>
  </si>
  <si>
    <t>LANO DAVIDZON NIRIGI</t>
  </si>
  <si>
    <t>9109162709190002</t>
  </si>
  <si>
    <t>GIDEON EFRAT NIRIGI</t>
  </si>
  <si>
    <t>9109052606100001</t>
  </si>
  <si>
    <t>9109050310590001</t>
  </si>
  <si>
    <t>YESAYA NIRIGI</t>
  </si>
  <si>
    <t>9109054203800002</t>
  </si>
  <si>
    <t>DEBORA GWIJANGGE</t>
  </si>
  <si>
    <t>9109050607900001</t>
  </si>
  <si>
    <t>9109033006100001</t>
  </si>
  <si>
    <t>9109032004690001</t>
  </si>
  <si>
    <t>MESAK WESAREAK</t>
  </si>
  <si>
    <t>9109034204650001</t>
  </si>
  <si>
    <t>ROMINA WESAREAK</t>
  </si>
  <si>
    <t>9109034207990001</t>
  </si>
  <si>
    <t>EMINCE WESAREAK</t>
  </si>
  <si>
    <t>9109035505060001</t>
  </si>
  <si>
    <t>SEITI WESAREAK</t>
  </si>
  <si>
    <t>9109030601070001</t>
  </si>
  <si>
    <t>JENTO WESAREAK</t>
  </si>
  <si>
    <t>9109160701200009</t>
  </si>
  <si>
    <t>9109164401010001</t>
  </si>
  <si>
    <t>AKOLINA GWIJANGGE</t>
  </si>
  <si>
    <t>9109162103150002</t>
  </si>
  <si>
    <t>ANDIO NIRIGE</t>
  </si>
  <si>
    <t>KEMYAM</t>
  </si>
  <si>
    <t>9109164110170002</t>
  </si>
  <si>
    <t>ASAMINA NIIRGI</t>
  </si>
  <si>
    <t>EMNOR GWIJANGGE</t>
  </si>
  <si>
    <t>9404161605190001</t>
  </si>
  <si>
    <t>DAPIEL GWIJANGGE</t>
  </si>
  <si>
    <t>9404160803240001</t>
  </si>
  <si>
    <t>YUSUF GWIJANGGE</t>
  </si>
  <si>
    <t>9109030305110002</t>
  </si>
  <si>
    <t>9109031006770002</t>
  </si>
  <si>
    <t>JHON NIRIGI</t>
  </si>
  <si>
    <t>9109035507780001</t>
  </si>
  <si>
    <t>ESPINA NIRIGI</t>
  </si>
  <si>
    <t>9109030308980002</t>
  </si>
  <si>
    <t>LEK NIRIGI</t>
  </si>
  <si>
    <t>9109031708000002</t>
  </si>
  <si>
    <t>PAEL NIRIGI</t>
  </si>
  <si>
    <t>9109032610070001</t>
  </si>
  <si>
    <t>KRISTOBET NIRIGI</t>
  </si>
  <si>
    <t>9109031304110001</t>
  </si>
  <si>
    <t>ENOS NIRIGI</t>
  </si>
  <si>
    <t>9109166105170001</t>
  </si>
  <si>
    <t>9109030406210001</t>
  </si>
  <si>
    <t>9109034902880001</t>
  </si>
  <si>
    <t>EMMA NIRIGI</t>
  </si>
  <si>
    <t>9404162304250002</t>
  </si>
  <si>
    <t>9109050101900001</t>
  </si>
  <si>
    <t>SEMI NIRIGI</t>
  </si>
  <si>
    <t>9404164606070001</t>
  </si>
  <si>
    <t>LEONORA KOWIB</t>
  </si>
  <si>
    <t>9404163112200001</t>
  </si>
  <si>
    <t>MAYOR YESAYA NIRIGI</t>
  </si>
  <si>
    <t>9404160501230003</t>
  </si>
  <si>
    <t>AMOS LEONARDO NIRIGI</t>
  </si>
  <si>
    <t>9404162904240007</t>
  </si>
  <si>
    <t>9109030810750001</t>
  </si>
  <si>
    <t>JAKIN WANDIKBO</t>
  </si>
  <si>
    <t>RT 12</t>
  </si>
  <si>
    <t>9109034405930002</t>
  </si>
  <si>
    <t>NINLEK GWIJANGGE</t>
  </si>
  <si>
    <t>9109164308160003</t>
  </si>
  <si>
    <t>MARTA WANDIKBO</t>
  </si>
  <si>
    <t>9109164308160001</t>
  </si>
  <si>
    <t>NINELAK WANIMBO</t>
  </si>
  <si>
    <t>9109166105190004</t>
  </si>
  <si>
    <t>NELA WANDIKBO</t>
  </si>
  <si>
    <t>9109166105190005</t>
  </si>
  <si>
    <t>NILA WANDIKBO</t>
  </si>
  <si>
    <t>9404161012220001</t>
  </si>
  <si>
    <t>IMANUEL WANDIKBO</t>
  </si>
  <si>
    <t>9404161803240006</t>
  </si>
  <si>
    <t>9404164406750001</t>
  </si>
  <si>
    <t>KARULINA WESAREAK</t>
  </si>
  <si>
    <t>DAKWI</t>
  </si>
  <si>
    <t>9404161209230003</t>
  </si>
  <si>
    <t>9103015907941001</t>
  </si>
  <si>
    <t>FONNY GWIJANGGE</t>
  </si>
  <si>
    <t>9109160109210003</t>
  </si>
  <si>
    <t>GEORGIUS IMBRINGGAT IBEN WANDIKBO</t>
  </si>
  <si>
    <t>9404160112230001</t>
  </si>
  <si>
    <t>RAKUEL LAZARUS GABRIEL WANDIKBO</t>
  </si>
  <si>
    <t>9404162003230005</t>
  </si>
  <si>
    <t>9109161105150001</t>
  </si>
  <si>
    <t>GIHON APLON LOKBERE</t>
  </si>
  <si>
    <t>9109036012990001</t>
  </si>
  <si>
    <t>NATA UBRUANGGE</t>
  </si>
  <si>
    <t>9404161604240001</t>
  </si>
  <si>
    <t>9404160706920001</t>
  </si>
  <si>
    <t>ANDIANUS WANDIKBO</t>
  </si>
  <si>
    <t>9404164405970001</t>
  </si>
  <si>
    <t>KARTINI WESAREAK</t>
  </si>
  <si>
    <t>9404164808180001</t>
  </si>
  <si>
    <t>WANA WANDIKBO</t>
  </si>
  <si>
    <t>9404161304220001</t>
  </si>
  <si>
    <t>PANGGIRAN WANDIKBO</t>
  </si>
  <si>
    <t>9109160410170014</t>
  </si>
  <si>
    <t>9109160812780001</t>
  </si>
  <si>
    <t>NAKITEN GWIJANGGE</t>
  </si>
  <si>
    <t>9109160108190001</t>
  </si>
  <si>
    <t>9109161205930001</t>
  </si>
  <si>
    <t>TANIUS WANDIKBO</t>
  </si>
  <si>
    <t>9109165407990001</t>
  </si>
  <si>
    <t>APRIANI LOKBERE</t>
  </si>
  <si>
    <t>BUATENLA</t>
  </si>
  <si>
    <t>9109164405150003</t>
  </si>
  <si>
    <t>DIO WANDIKBO</t>
  </si>
  <si>
    <t>9109161704160002</t>
  </si>
  <si>
    <t>YUT WANDIKBO</t>
  </si>
  <si>
    <t>9109160908160002</t>
  </si>
  <si>
    <t>YIWANTOH WANDIKBO</t>
  </si>
  <si>
    <t>9109166610170001</t>
  </si>
  <si>
    <t>YUTLINA WANDIKBO</t>
  </si>
  <si>
    <t>9109165108190003</t>
  </si>
  <si>
    <t>ANGGUSTINA WANDIKBO</t>
  </si>
  <si>
    <t>9109162811200002</t>
  </si>
  <si>
    <t>PANUEL WANDIKBO</t>
  </si>
  <si>
    <t>9109166909220001</t>
  </si>
  <si>
    <t>RAEL WANDIKBO</t>
  </si>
  <si>
    <t>9109162501160002</t>
  </si>
  <si>
    <t>9109160206930001</t>
  </si>
  <si>
    <t>NIKIA WASAREAK</t>
  </si>
  <si>
    <t>DAWIN</t>
  </si>
  <si>
    <t>9109164703980001</t>
  </si>
  <si>
    <t>JUMINA WANDIKBO</t>
  </si>
  <si>
    <t>KURUMUH</t>
  </si>
  <si>
    <t>9109161308060001</t>
  </si>
  <si>
    <t>ANDIN WASAREAK</t>
  </si>
  <si>
    <t>9109161908120001</t>
  </si>
  <si>
    <t>IRIANTO WASAREAK</t>
  </si>
  <si>
    <t>9109161706210002</t>
  </si>
  <si>
    <t>9109166603040001</t>
  </si>
  <si>
    <t>EBENARD WANIMBO</t>
  </si>
  <si>
    <t>9109164907070003</t>
  </si>
  <si>
    <t>PIANA WANDIKBO</t>
  </si>
  <si>
    <t>9109162606100001</t>
  </si>
  <si>
    <t>PIANTO WANDIKBO</t>
  </si>
  <si>
    <t>9109032010100002</t>
  </si>
  <si>
    <t>9109030304790002</t>
  </si>
  <si>
    <t>PUNUS WANDIKBO</t>
  </si>
  <si>
    <t>9109035301870001</t>
  </si>
  <si>
    <t>ABIA GWIJANGGE</t>
  </si>
  <si>
    <t>TAOLMA</t>
  </si>
  <si>
    <t>9109030508080001</t>
  </si>
  <si>
    <t>REANUS WANDIKBO</t>
  </si>
  <si>
    <t>9109030111090001</t>
  </si>
  <si>
    <t>REMI WANDIKBO</t>
  </si>
  <si>
    <t>9109030608140001</t>
  </si>
  <si>
    <t>9109030606770002</t>
  </si>
  <si>
    <t>ELISON GWIJANGGE</t>
  </si>
  <si>
    <t>9109034504800001</t>
  </si>
  <si>
    <t>ERINA TELEGEN</t>
  </si>
  <si>
    <t>GESEMAN</t>
  </si>
  <si>
    <t>9109160408060001</t>
  </si>
  <si>
    <t>YANCINA GWIJANGGE</t>
  </si>
  <si>
    <t>9109162302070001</t>
  </si>
  <si>
    <t>ASON GWIJANGGE</t>
  </si>
  <si>
    <t>9109164604080001</t>
  </si>
  <si>
    <t>YONTIANUS GWIJANGGE</t>
  </si>
  <si>
    <t>9109160405160003</t>
  </si>
  <si>
    <t>9109160507960001</t>
  </si>
  <si>
    <t>MEDISON GWIJANGGE</t>
  </si>
  <si>
    <t>9109164303990001</t>
  </si>
  <si>
    <t>OI WANDIKBO</t>
  </si>
  <si>
    <t>9109160102070001</t>
  </si>
  <si>
    <t>WARIK GWIJANGGE</t>
  </si>
  <si>
    <t>9109160603080001</t>
  </si>
  <si>
    <t>MENDIANUS GWIJANGGE</t>
  </si>
  <si>
    <t>9109161709150001</t>
  </si>
  <si>
    <t>9109030804920001</t>
  </si>
  <si>
    <t>SIMIANUS WANDIKBO</t>
  </si>
  <si>
    <t>9109164503910001</t>
  </si>
  <si>
    <t>WESMINA WESAREAK</t>
  </si>
  <si>
    <t>9109160603090002</t>
  </si>
  <si>
    <t>YASTIN UBRUANGE</t>
  </si>
  <si>
    <t>9109164603130001</t>
  </si>
  <si>
    <t>MARSELINA WANDIKBO</t>
  </si>
  <si>
    <t>9109162406200001</t>
  </si>
  <si>
    <t>9109161806010001</t>
  </si>
  <si>
    <t>JENARUK GWIJANGGE</t>
  </si>
  <si>
    <t>KURUKMU</t>
  </si>
  <si>
    <t>9109161301200007</t>
  </si>
  <si>
    <t>9109166712930001</t>
  </si>
  <si>
    <t>ANINELAK GWIJANGGE</t>
  </si>
  <si>
    <t>MARTA WANIMBO</t>
  </si>
  <si>
    <t>NELA WANIMBO</t>
  </si>
  <si>
    <t>NILA WANIBO</t>
  </si>
  <si>
    <t>9109032907100004</t>
  </si>
  <si>
    <t>9109030308750001</t>
  </si>
  <si>
    <t>JAKIM WANDIKBO</t>
  </si>
  <si>
    <t>9109035511810001</t>
  </si>
  <si>
    <t>CIWA LOKMBRE</t>
  </si>
  <si>
    <t>9109030408900001</t>
  </si>
  <si>
    <t>LEANUS WANDIKBO</t>
  </si>
  <si>
    <t>9109030506920002</t>
  </si>
  <si>
    <t>DANTON WANDIKBO</t>
  </si>
  <si>
    <t>9109030803930003</t>
  </si>
  <si>
    <t>ARNOL LOKBERE</t>
  </si>
  <si>
    <t>9109031601950001</t>
  </si>
  <si>
    <t>JUVEN WANDIKBO</t>
  </si>
  <si>
    <t>9109034308000001</t>
  </si>
  <si>
    <t>ONGOS WANDIKBO</t>
  </si>
  <si>
    <t>9109035112030001</t>
  </si>
  <si>
    <t>PIAN WANDIKBO</t>
  </si>
  <si>
    <t>9109030303060001</t>
  </si>
  <si>
    <t>TENDINUS WANDIKBO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</si>
</sst>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 mmm\ \-\ yyyy"/>
  </numFmts>
  <fonts count="3" x14ac:knownFonts="1">
    <font>
      <sz val="11"/>
      <color theme="1"/>
      <name val="Calibri"/>
      <family val="2"/>
      <scheme val="minor"/>
    </font>
    <font>
      <b/>
      <sz val="11"/>
      <color theme="0"/>
      <name val="Calibri"/>
      <family val="2"/>
      <scheme val="minor"/>
    </font>
    <font>
      <b/>
      <sz val="18"/>
      <color theme="1"/>
      <name val="Calibri"/>
      <family val="2"/>
      <scheme val="minor"/>
    </font>
  </fonts>
  <fills count="3">
    <fill>
      <patternFill patternType="none"/>
    </fill>
    <fill>
      <patternFill patternType="gray125"/>
    </fill>
    <fill>
      <patternFill patternType="solid">
        <fgColor theme="4"/>
        <bgColor theme="4"/>
      </patternFill>
    </fill>
  </fills>
  <borders count="8">
    <border>
      <left/>
      <right/>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9">
    <xf numFmtId="0" fontId="0" fillId="0" borderId="0" xfId="0"/>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shrinkToFit="1"/>
    </xf>
    <xf numFmtId="0" fontId="1" fillId="2" borderId="0" xfId="0" applyFont="1" applyFill="1" applyAlignment="1">
      <alignment horizontal="center" vertical="center" wrapText="1"/>
    </xf>
    <xf numFmtId="0" fontId="1" fillId="2" borderId="2" xfId="0" applyFont="1" applyFill="1" applyBorder="1" applyAlignment="1">
      <alignment horizontal="center" vertical="center" shrinkToFit="1"/>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shrinkToFit="1"/>
    </xf>
    <xf numFmtId="164" fontId="0" fillId="0" borderId="4" xfId="0" applyNumberFormat="1" applyBorder="1" applyAlignment="1">
      <alignment vertical="center" shrinkToFit="1"/>
    </xf>
    <xf numFmtId="0" fontId="0" fillId="0" borderId="5" xfId="0" applyBorder="1" applyAlignment="1">
      <alignment horizontal="center" vertical="center"/>
    </xf>
    <xf numFmtId="0" fontId="0" fillId="0" borderId="4" xfId="0" applyBorder="1" applyAlignment="1">
      <alignment horizontal="center" vertical="center" shrinkToFit="1"/>
    </xf>
    <xf numFmtId="164" fontId="0" fillId="0" borderId="4" xfId="0" applyNumberFormat="1" applyBorder="1" applyAlignment="1">
      <alignment horizontal="right"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6" xfId="0" applyBorder="1" applyAlignment="1">
      <alignment vertical="center" shrinkToFit="1"/>
    </xf>
    <xf numFmtId="164" fontId="0" fillId="0" borderId="6" xfId="0" applyNumberFormat="1" applyBorder="1" applyAlignment="1">
      <alignment horizontal="right" vertical="center" shrinkToFit="1"/>
    </xf>
    <xf numFmtId="0" fontId="0" fillId="0" borderId="7" xfId="0" applyBorder="1" applyAlignment="1">
      <alignment horizontal="center" vertical="center" shrinkToFit="1"/>
    </xf>
    <xf numFmtId="0" fontId="0" fillId="0" borderId="6" xfId="0" quotePrefix="1" applyBorder="1" applyAlignment="1">
      <alignment horizontal="center" vertical="center" shrinkToFit="1"/>
    </xf>
    <xf numFmtId="0" fontId="0" fillId="0" borderId="0" xfId="0" quotePrefix="1" applyAlignment="1">
      <alignment horizontal="center" vertical="center" shrinkToFit="1"/>
    </xf>
    <xf numFmtId="0" fontId="0" fillId="0" borderId="0" xfId="0" applyAlignment="1">
      <alignment vertical="center" shrinkToFit="1"/>
    </xf>
    <xf numFmtId="164" fontId="0" fillId="0" borderId="0" xfId="0" applyNumberFormat="1" applyAlignment="1">
      <alignment vertical="center" shrinkToFit="1"/>
    </xf>
    <xf numFmtId="0" fontId="0" fillId="0" borderId="0" xfId="0" applyAlignment="1">
      <alignment horizontal="center" vertical="center" shrinkToFit="1"/>
    </xf>
    <xf numFmtId="0" fontId="0" fillId="0" borderId="0" xfId="0" quotePrefix="1" applyAlignment="1">
      <alignment vertical="center" shrinkToFit="1"/>
    </xf>
    <xf numFmtId="14" fontId="0" fillId="0" borderId="0" xfId="0" applyNumberFormat="1" applyAlignment="1">
      <alignment vertical="center" shrinkToFit="1"/>
    </xf>
    <xf numFmtId="0" fontId="0" fillId="0" borderId="0" xfId="0" applyAlignment="1">
      <alignment horizontal="center"/>
    </xf>
    <xf numFmtId="0" fontId="0" fillId="0" borderId="0" xfId="0" applyAlignment="1">
      <alignment shrinkToFit="1"/>
    </xf>
  </cellXfs>
  <cellStyles count="1">
    <cellStyle name="Normal" xfId="0" builtinId="0"/>
  </cellStyles>
  <dxfs count="15">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general" vertical="center" textRotation="0" wrapText="0" indent="0" justifyLastLine="0" shrinkToFit="1" readingOrder="0"/>
    </dxf>
    <dxf>
      <fill>
        <patternFill patternType="none">
          <fgColor indexed="64"/>
          <bgColor auto="1"/>
        </patternFill>
      </fill>
      <alignment horizontal="center" vertical="center" textRotation="0" wrapText="0" indent="0" justifyLastLine="0" readingOrder="0"/>
    </dxf>
    <dxf>
      <fill>
        <patternFill patternType="none">
          <fgColor indexed="64"/>
          <bgColor auto="1"/>
        </patternFill>
      </fill>
      <alignment horizontal="center" vertical="center" textRotation="0" wrapText="0" indent="0" justifyLastLine="0" readingOrder="0"/>
    </dxf>
    <dxf>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fill>
        <patternFill patternType="none">
          <fgColor indexed="64"/>
          <bgColor auto="1"/>
        </patternFill>
      </fill>
      <alignment horizontal="general" vertical="center" textRotation="0" wrapText="0" indent="0" justifyLastLine="0" shrinkToFit="1"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1354</xdr:row>
      <xdr:rowOff>0</xdr:rowOff>
    </xdr:from>
    <xdr:to>
      <xdr:col>9</xdr:col>
      <xdr:colOff>63500</xdr:colOff>
      <xdr:row>1354</xdr:row>
      <xdr:rowOff>127000</xdr:rowOff>
    </xdr:to>
    <xdr:pic>
      <xdr:nvPicPr>
        <xdr:cNvPr id="2" name="Picture 1">
          <a:extLst>
            <a:ext uri="{FF2B5EF4-FFF2-40B4-BE49-F238E27FC236}">
              <a16:creationId xmlns:a16="http://schemas.microsoft.com/office/drawing/2014/main" id="{65D9BCFF-2534-446B-BA65-419FEC3557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5" y="335441925"/>
          <a:ext cx="63500"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1354</xdr:row>
      <xdr:rowOff>0</xdr:rowOff>
    </xdr:from>
    <xdr:to>
      <xdr:col>9</xdr:col>
      <xdr:colOff>139700</xdr:colOff>
      <xdr:row>1354</xdr:row>
      <xdr:rowOff>76200</xdr:rowOff>
    </xdr:to>
    <xdr:pic>
      <xdr:nvPicPr>
        <xdr:cNvPr id="3" name="Picture 1">
          <a:extLst>
            <a:ext uri="{FF2B5EF4-FFF2-40B4-BE49-F238E27FC236}">
              <a16:creationId xmlns:a16="http://schemas.microsoft.com/office/drawing/2014/main" id="{77B0F571-0187-425B-8349-E13E0378C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10875" y="335441925"/>
          <a:ext cx="1397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1529</xdr:row>
      <xdr:rowOff>0</xdr:rowOff>
    </xdr:from>
    <xdr:to>
      <xdr:col>3</xdr:col>
      <xdr:colOff>88900</xdr:colOff>
      <xdr:row>1529</xdr:row>
      <xdr:rowOff>152400</xdr:rowOff>
    </xdr:to>
    <xdr:pic>
      <xdr:nvPicPr>
        <xdr:cNvPr id="4" name="Picture 1">
          <a:extLst>
            <a:ext uri="{FF2B5EF4-FFF2-40B4-BE49-F238E27FC236}">
              <a16:creationId xmlns:a16="http://schemas.microsoft.com/office/drawing/2014/main" id="{ADF86B50-9684-48BD-94D0-1BC468D61D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48025" y="378780675"/>
          <a:ext cx="889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11</xdr:col>
      <xdr:colOff>429808</xdr:colOff>
      <xdr:row>1808</xdr:row>
      <xdr:rowOff>137023</xdr:rowOff>
    </xdr:from>
    <xdr:to>
      <xdr:col>19</xdr:col>
      <xdr:colOff>169333</xdr:colOff>
      <xdr:row>1818</xdr:row>
      <xdr:rowOff>226982</xdr:rowOff>
    </xdr:to>
    <mc:AlternateContent xmlns:mc="http://schemas.openxmlformats.org/markup-compatibility/2006">
      <mc:Choice xmlns:sle15="http://schemas.microsoft.com/office/drawing/2012/slicer" Requires="sle15">
        <xdr:graphicFrame macro="">
          <xdr:nvGraphicFramePr>
            <xdr:cNvPr id="5" name="ALAMAT">
              <a:extLst>
                <a:ext uri="{FF2B5EF4-FFF2-40B4-BE49-F238E27FC236}">
                  <a16:creationId xmlns:a16="http://schemas.microsoft.com/office/drawing/2014/main" id="{CDF01183-9003-4BC6-A203-EF3F7FCE6918}"/>
                </a:ext>
              </a:extLst>
            </xdr:cNvPr>
            <xdr:cNvGraphicFramePr/>
          </xdr:nvGraphicFramePr>
          <xdr:xfrm>
            <a:off x="0" y="0"/>
            <a:ext cx="0" cy="0"/>
          </xdr:xfrm>
          <a:graphic>
            <a:graphicData uri="http://schemas.microsoft.com/office/drawing/2010/slicer">
              <sle:slicer xmlns:sle="http://schemas.microsoft.com/office/drawing/2010/slicer" name="ALAMAT"/>
            </a:graphicData>
          </a:graphic>
        </xdr:graphicFrame>
      </mc:Choice>
      <mc:Fallback>
        <xdr:sp macro="" textlink="">
          <xdr:nvSpPr>
            <xdr:cNvPr id="0" name=""/>
            <xdr:cNvSpPr>
              <a:spLocks noTextEdit="1"/>
            </xdr:cNvSpPr>
          </xdr:nvSpPr>
          <xdr:spPr>
            <a:xfrm>
              <a:off x="13637808" y="440181440"/>
              <a:ext cx="4851275"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AMAT" xr10:uid="{D9EE258A-E244-4E4B-8A72-0C67F0DA614D}" sourceName="ALAMAT">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AMAT" xr10:uid="{E3A4514D-A049-423D-BD35-C687FCAA14FB}" cache="Slicer_ALAMAT" caption="ALAMAT" columnCoun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99EB2-FD3A-451F-9749-7909CA90053F}" name="Table15" displayName="Table15" ref="A3:L1929" totalsRowShown="0" headerRowDxfId="14" dataDxfId="13" tableBorderDxfId="12">
  <autoFilter ref="A3:L1929" xr:uid="{6437B3B9-9D24-4B30-9D96-0147BD318286}"/>
  <tableColumns count="12">
    <tableColumn id="1" xr3:uid="{61CB9DD4-4C06-464F-94A5-F562CECE368E}" name="NO" dataDxfId="11">
      <calculatedColumnFormula>IF(D4="","",ROW()-3)</calculatedColumnFormula>
    </tableColumn>
    <tableColumn id="2" xr3:uid="{AE038526-D093-442C-97E2-5822AEEAF734}" name="NO. KK" dataDxfId="10"/>
    <tableColumn id="3" xr3:uid="{6BD32177-AB06-4659-9C08-C6D5F1335EDD}" name="NIK" dataDxfId="9"/>
    <tableColumn id="4" xr3:uid="{17C7EDDC-EDD3-4034-ACDC-C5E53CEDBAC0}" name="NAMA" dataDxfId="8"/>
    <tableColumn id="5" xr3:uid="{945AD15A-576C-455C-A8AB-2A0D2450D3DA}" name="JENIS KELAMIN" dataDxfId="7"/>
    <tableColumn id="6" xr3:uid="{1C047592-6A27-4597-8FF5-1F167B52B6A6}" name="TEMPAT LAHIR" dataDxfId="6"/>
    <tableColumn id="7" xr3:uid="{880DAE43-54A9-400E-B60B-6F5777195E9D}" name="TANGGAL LAHIR" dataDxfId="5"/>
    <tableColumn id="8" xr3:uid="{AD486F7F-9C65-4852-BD2A-62A44B5A0451}" name="AGAMA" dataDxfId="4"/>
    <tableColumn id="9" xr3:uid="{9385032F-26BB-4829-900D-EF1EEC7EAEB7}" name="PEKERJAAN" dataDxfId="3"/>
    <tableColumn id="10" xr3:uid="{CC1E0EAC-190D-45D5-BF29-FB68E9E0B678}" name="STATUS DLM KELUARGA" dataDxfId="2"/>
    <tableColumn id="11" xr3:uid="{779A896F-2204-4DA5-93BF-3857B141BF6F}" name="UMUR" dataDxfId="1">
      <calculatedColumnFormula>DATEDIF('DATA PENDUDUK'!$G4,TODAY(),"Y")&amp; " TAHUN"</calculatedColumnFormula>
    </tableColumn>
    <tableColumn id="12" xr3:uid="{801853B9-C33D-46C1-ADB7-74D98131473A}" name="ALAMA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D6A9-68EF-4595-8C34-C7A95B37718D}">
  <dimension ref="A1:L1929"/>
  <sheetViews>
    <sheetView tabSelected="1" zoomScale="90" zoomScaleNormal="90" workbookViewId="0">
      <selection sqref="A1:L1"/>
    </sheetView>
  </sheetViews>
  <sheetFormatPr defaultRowHeight="15" x14ac:dyDescent="0.25"/>
  <cols>
    <col min="1" max="1" width="6.7109375" style="27" customWidth="1"/>
    <col min="2" max="3" width="21" customWidth="1"/>
    <col min="4" max="4" width="30.7109375" style="28" customWidth="1"/>
    <col min="5" max="5" width="16" style="28" customWidth="1"/>
    <col min="6" max="6" width="15.5703125" style="28" customWidth="1"/>
    <col min="7" max="7" width="17" style="28" customWidth="1"/>
    <col min="8" max="8" width="12.7109375" style="28" customWidth="1"/>
    <col min="9" max="9" width="21.42578125" style="28" customWidth="1"/>
    <col min="10" max="10" width="23.85546875" style="28" customWidth="1"/>
    <col min="11" max="12" width="12.140625" style="28" customWidth="1"/>
  </cols>
  <sheetData>
    <row r="1" spans="1:12" ht="23.25" x14ac:dyDescent="0.35">
      <c r="A1" s="1" t="s">
        <v>0</v>
      </c>
      <c r="B1" s="1"/>
      <c r="C1" s="1"/>
      <c r="D1" s="1"/>
      <c r="E1" s="1"/>
      <c r="F1" s="1"/>
      <c r="G1" s="1"/>
      <c r="H1" s="1"/>
      <c r="I1" s="1"/>
      <c r="J1" s="1"/>
      <c r="K1" s="1"/>
      <c r="L1" s="1"/>
    </row>
    <row r="3" spans="1:12" s="7" customFormat="1" x14ac:dyDescent="0.25">
      <c r="A3" s="2" t="s">
        <v>1</v>
      </c>
      <c r="B3" s="3" t="s">
        <v>2</v>
      </c>
      <c r="C3" s="3" t="s">
        <v>3</v>
      </c>
      <c r="D3" s="4" t="s">
        <v>4</v>
      </c>
      <c r="E3" s="4" t="s">
        <v>5</v>
      </c>
      <c r="F3" s="4" t="s">
        <v>6</v>
      </c>
      <c r="G3" s="4" t="s">
        <v>7</v>
      </c>
      <c r="H3" s="4" t="s">
        <v>8</v>
      </c>
      <c r="I3" s="4" t="s">
        <v>9</v>
      </c>
      <c r="J3" s="5" t="s">
        <v>10</v>
      </c>
      <c r="K3" s="4" t="s">
        <v>11</v>
      </c>
      <c r="L3" s="6" t="s">
        <v>12</v>
      </c>
    </row>
    <row r="4" spans="1:12" ht="20.100000000000001" customHeight="1" x14ac:dyDescent="0.25">
      <c r="A4" s="8">
        <f>IF(D4="","",ROW()-3)</f>
        <v>1</v>
      </c>
      <c r="B4" s="9" t="s">
        <v>13</v>
      </c>
      <c r="C4" s="9" t="s">
        <v>14</v>
      </c>
      <c r="D4" s="10" t="s">
        <v>15</v>
      </c>
      <c r="E4" s="10" t="s">
        <v>16</v>
      </c>
      <c r="F4" s="10" t="s">
        <v>17</v>
      </c>
      <c r="G4" s="11">
        <v>31612</v>
      </c>
      <c r="H4" s="10" t="s">
        <v>18</v>
      </c>
      <c r="I4" s="10" t="s">
        <v>19</v>
      </c>
      <c r="J4" s="10" t="s">
        <v>20</v>
      </c>
      <c r="K4" s="10" t="str">
        <f ca="1">DATEDIF('DATA PENDUDUK'!$G4,TODAY(),"Y")&amp; " TAHUN"</f>
        <v>39 TAHUN</v>
      </c>
      <c r="L4" s="12" t="s">
        <v>21</v>
      </c>
    </row>
    <row r="5" spans="1:12" ht="20.100000000000001" customHeight="1" x14ac:dyDescent="0.25">
      <c r="A5" s="8">
        <f>IF(D5="","",ROW()-3)</f>
        <v>2</v>
      </c>
      <c r="B5" s="9" t="s">
        <v>13</v>
      </c>
      <c r="C5" s="9" t="s">
        <v>22</v>
      </c>
      <c r="D5" s="10" t="s">
        <v>23</v>
      </c>
      <c r="E5" s="10" t="s">
        <v>24</v>
      </c>
      <c r="F5" s="10" t="s">
        <v>25</v>
      </c>
      <c r="G5" s="11">
        <v>27614</v>
      </c>
      <c r="H5" s="10" t="s">
        <v>18</v>
      </c>
      <c r="I5" s="10" t="s">
        <v>26</v>
      </c>
      <c r="J5" s="10" t="s">
        <v>27</v>
      </c>
      <c r="K5" s="10" t="str">
        <f ca="1">DATEDIF('DATA PENDUDUK'!$G5,TODAY(),"Y")&amp; " TAHUN"</f>
        <v>49 TAHUN</v>
      </c>
      <c r="L5" s="12" t="s">
        <v>21</v>
      </c>
    </row>
    <row r="6" spans="1:12" ht="20.100000000000001" customHeight="1" x14ac:dyDescent="0.25">
      <c r="A6" s="8">
        <f t="shared" ref="A6:A69" si="0">IF(D6="","",ROW()-3)</f>
        <v>3</v>
      </c>
      <c r="B6" s="9" t="s">
        <v>13</v>
      </c>
      <c r="C6" s="9" t="s">
        <v>28</v>
      </c>
      <c r="D6" s="10" t="s">
        <v>29</v>
      </c>
      <c r="E6" s="10" t="s">
        <v>24</v>
      </c>
      <c r="F6" s="10" t="s">
        <v>30</v>
      </c>
      <c r="G6" s="11">
        <v>41220</v>
      </c>
      <c r="H6" s="10" t="s">
        <v>18</v>
      </c>
      <c r="I6" s="10" t="s">
        <v>31</v>
      </c>
      <c r="J6" s="10" t="s">
        <v>32</v>
      </c>
      <c r="K6" s="10" t="str">
        <f ca="1">DATEDIF('DATA PENDUDUK'!$G6,TODAY(),"Y")&amp; " TAHUN"</f>
        <v>12 TAHUN</v>
      </c>
      <c r="L6" s="12" t="s">
        <v>21</v>
      </c>
    </row>
    <row r="7" spans="1:12" ht="20.100000000000001" customHeight="1" x14ac:dyDescent="0.25">
      <c r="A7" s="8">
        <f t="shared" si="0"/>
        <v>4</v>
      </c>
      <c r="B7" s="9" t="s">
        <v>13</v>
      </c>
      <c r="C7" s="9" t="s">
        <v>33</v>
      </c>
      <c r="D7" s="10" t="s">
        <v>34</v>
      </c>
      <c r="E7" s="10" t="s">
        <v>24</v>
      </c>
      <c r="F7" s="10" t="s">
        <v>25</v>
      </c>
      <c r="G7" s="11">
        <v>30234</v>
      </c>
      <c r="H7" s="10" t="s">
        <v>35</v>
      </c>
      <c r="I7" s="10" t="s">
        <v>36</v>
      </c>
      <c r="J7" s="10" t="s">
        <v>37</v>
      </c>
      <c r="K7" s="10" t="str">
        <f ca="1">DATEDIF('DATA PENDUDUK'!$G7,TODAY(),"Y")&amp; " TAHUN"</f>
        <v>42 TAHUN</v>
      </c>
      <c r="L7" s="12" t="s">
        <v>21</v>
      </c>
    </row>
    <row r="8" spans="1:12" ht="20.100000000000001" customHeight="1" x14ac:dyDescent="0.25">
      <c r="A8" s="8">
        <f t="shared" si="0"/>
        <v>5</v>
      </c>
      <c r="B8" s="9" t="s">
        <v>13</v>
      </c>
      <c r="C8" s="9" t="s">
        <v>38</v>
      </c>
      <c r="D8" s="10" t="s">
        <v>39</v>
      </c>
      <c r="E8" s="10" t="s">
        <v>24</v>
      </c>
      <c r="F8" s="10" t="s">
        <v>17</v>
      </c>
      <c r="G8" s="11">
        <v>34585</v>
      </c>
      <c r="H8" s="10" t="s">
        <v>18</v>
      </c>
      <c r="I8" s="10" t="s">
        <v>40</v>
      </c>
      <c r="J8" s="10" t="s">
        <v>37</v>
      </c>
      <c r="K8" s="10" t="str">
        <f ca="1">DATEDIF('DATA PENDUDUK'!$G8,TODAY(),"Y")&amp; " TAHUN"</f>
        <v>30 TAHUN</v>
      </c>
      <c r="L8" s="12" t="s">
        <v>21</v>
      </c>
    </row>
    <row r="9" spans="1:12" ht="20.100000000000001" customHeight="1" x14ac:dyDescent="0.25">
      <c r="A9" s="8">
        <f t="shared" si="0"/>
        <v>6</v>
      </c>
      <c r="B9" s="9" t="s">
        <v>13</v>
      </c>
      <c r="C9" s="9" t="s">
        <v>41</v>
      </c>
      <c r="D9" s="10" t="s">
        <v>42</v>
      </c>
      <c r="E9" s="10" t="s">
        <v>24</v>
      </c>
      <c r="F9" s="10" t="s">
        <v>17</v>
      </c>
      <c r="G9" s="11">
        <v>38171</v>
      </c>
      <c r="H9" s="10" t="s">
        <v>18</v>
      </c>
      <c r="I9" s="10" t="s">
        <v>40</v>
      </c>
      <c r="J9" s="10" t="s">
        <v>37</v>
      </c>
      <c r="K9" s="10" t="str">
        <f ca="1">DATEDIF('DATA PENDUDUK'!$G9,TODAY(),"Y")&amp; " TAHUN"</f>
        <v>21 TAHUN</v>
      </c>
      <c r="L9" s="12" t="s">
        <v>21</v>
      </c>
    </row>
    <row r="10" spans="1:12" ht="20.100000000000001" customHeight="1" x14ac:dyDescent="0.25">
      <c r="A10" s="8">
        <f t="shared" si="0"/>
        <v>7</v>
      </c>
      <c r="B10" s="9" t="s">
        <v>43</v>
      </c>
      <c r="C10" s="9" t="s">
        <v>44</v>
      </c>
      <c r="D10" s="10" t="s">
        <v>45</v>
      </c>
      <c r="E10" s="10" t="s">
        <v>16</v>
      </c>
      <c r="F10" s="10" t="s">
        <v>46</v>
      </c>
      <c r="G10" s="11">
        <v>29329</v>
      </c>
      <c r="H10" s="10" t="s">
        <v>35</v>
      </c>
      <c r="I10" s="10" t="s">
        <v>19</v>
      </c>
      <c r="J10" s="10" t="s">
        <v>20</v>
      </c>
      <c r="K10" s="10" t="str">
        <f ca="1">DATEDIF('DATA PENDUDUK'!$G10,TODAY(),"Y")&amp; " TAHUN"</f>
        <v>45 TAHUN</v>
      </c>
      <c r="L10" s="12" t="s">
        <v>21</v>
      </c>
    </row>
    <row r="11" spans="1:12" ht="20.100000000000001" customHeight="1" x14ac:dyDescent="0.25">
      <c r="A11" s="8">
        <f t="shared" si="0"/>
        <v>8</v>
      </c>
      <c r="B11" s="9" t="s">
        <v>43</v>
      </c>
      <c r="C11" s="9" t="s">
        <v>47</v>
      </c>
      <c r="D11" s="10" t="s">
        <v>48</v>
      </c>
      <c r="E11" s="10" t="s">
        <v>24</v>
      </c>
      <c r="F11" s="10" t="s">
        <v>49</v>
      </c>
      <c r="G11" s="11">
        <v>36359</v>
      </c>
      <c r="H11" s="10" t="s">
        <v>35</v>
      </c>
      <c r="I11" s="10" t="s">
        <v>31</v>
      </c>
      <c r="J11" s="10" t="s">
        <v>37</v>
      </c>
      <c r="K11" s="10" t="str">
        <f ca="1">DATEDIF('DATA PENDUDUK'!$G11,TODAY(),"Y")&amp; " TAHUN"</f>
        <v>26 TAHUN</v>
      </c>
      <c r="L11" s="12" t="s">
        <v>21</v>
      </c>
    </row>
    <row r="12" spans="1:12" ht="20.100000000000001" customHeight="1" x14ac:dyDescent="0.25">
      <c r="A12" s="8">
        <f t="shared" si="0"/>
        <v>9</v>
      </c>
      <c r="B12" s="9" t="s">
        <v>50</v>
      </c>
      <c r="C12" s="9" t="s">
        <v>51</v>
      </c>
      <c r="D12" s="10" t="s">
        <v>52</v>
      </c>
      <c r="E12" s="10" t="s">
        <v>16</v>
      </c>
      <c r="F12" s="10" t="s">
        <v>46</v>
      </c>
      <c r="G12" s="11">
        <v>34095</v>
      </c>
      <c r="H12" s="10" t="s">
        <v>35</v>
      </c>
      <c r="I12" s="10" t="s">
        <v>19</v>
      </c>
      <c r="J12" s="10" t="s">
        <v>20</v>
      </c>
      <c r="K12" s="10" t="str">
        <f ca="1">DATEDIF('DATA PENDUDUK'!$G12,TODAY(),"Y")&amp; " TAHUN"</f>
        <v>32 TAHUN</v>
      </c>
      <c r="L12" s="12" t="s">
        <v>21</v>
      </c>
    </row>
    <row r="13" spans="1:12" ht="20.100000000000001" customHeight="1" x14ac:dyDescent="0.25">
      <c r="A13" s="8">
        <f t="shared" si="0"/>
        <v>10</v>
      </c>
      <c r="B13" s="9" t="s">
        <v>50</v>
      </c>
      <c r="C13" s="9" t="s">
        <v>53</v>
      </c>
      <c r="D13" s="10" t="s">
        <v>54</v>
      </c>
      <c r="E13" s="10" t="s">
        <v>24</v>
      </c>
      <c r="F13" s="10" t="s">
        <v>46</v>
      </c>
      <c r="G13" s="11">
        <v>42257</v>
      </c>
      <c r="H13" s="10" t="s">
        <v>35</v>
      </c>
      <c r="I13" s="10" t="s">
        <v>40</v>
      </c>
      <c r="J13" s="10" t="s">
        <v>32</v>
      </c>
      <c r="K13" s="10" t="str">
        <f ca="1">DATEDIF('DATA PENDUDUK'!$G13,TODAY(),"Y")&amp; " TAHUN"</f>
        <v>9 TAHUN</v>
      </c>
      <c r="L13" s="12" t="s">
        <v>21</v>
      </c>
    </row>
    <row r="14" spans="1:12" ht="20.100000000000001" customHeight="1" x14ac:dyDescent="0.25">
      <c r="A14" s="8">
        <f t="shared" si="0"/>
        <v>11</v>
      </c>
      <c r="B14" s="9" t="s">
        <v>55</v>
      </c>
      <c r="C14" s="9" t="s">
        <v>56</v>
      </c>
      <c r="D14" s="10" t="s">
        <v>57</v>
      </c>
      <c r="E14" s="10" t="s">
        <v>24</v>
      </c>
      <c r="F14" s="10" t="s">
        <v>58</v>
      </c>
      <c r="G14" s="11">
        <v>27652</v>
      </c>
      <c r="H14" s="10" t="s">
        <v>35</v>
      </c>
      <c r="I14" s="10" t="s">
        <v>19</v>
      </c>
      <c r="J14" s="10" t="s">
        <v>20</v>
      </c>
      <c r="K14" s="10" t="str">
        <f ca="1">DATEDIF('DATA PENDUDUK'!$G14,TODAY(),"Y")&amp; " TAHUN"</f>
        <v>49 TAHUN</v>
      </c>
      <c r="L14" s="12" t="s">
        <v>21</v>
      </c>
    </row>
    <row r="15" spans="1:12" ht="20.100000000000001" customHeight="1" x14ac:dyDescent="0.25">
      <c r="A15" s="8">
        <f t="shared" si="0"/>
        <v>12</v>
      </c>
      <c r="B15" s="9" t="s">
        <v>55</v>
      </c>
      <c r="C15" s="9" t="s">
        <v>59</v>
      </c>
      <c r="D15" s="10" t="s">
        <v>60</v>
      </c>
      <c r="E15" s="10" t="s">
        <v>24</v>
      </c>
      <c r="F15" s="10" t="s">
        <v>61</v>
      </c>
      <c r="G15" s="11">
        <v>32007</v>
      </c>
      <c r="H15" s="10" t="s">
        <v>35</v>
      </c>
      <c r="I15" s="10" t="s">
        <v>19</v>
      </c>
      <c r="J15" s="10" t="s">
        <v>37</v>
      </c>
      <c r="K15" s="10" t="str">
        <f ca="1">DATEDIF('DATA PENDUDUK'!$G15,TODAY(),"Y")&amp; " TAHUN"</f>
        <v>37 TAHUN</v>
      </c>
      <c r="L15" s="12" t="s">
        <v>21</v>
      </c>
    </row>
    <row r="16" spans="1:12" ht="20.100000000000001" customHeight="1" x14ac:dyDescent="0.25">
      <c r="A16" s="8">
        <f t="shared" si="0"/>
        <v>13</v>
      </c>
      <c r="B16" s="9" t="s">
        <v>55</v>
      </c>
      <c r="C16" s="9" t="s">
        <v>62</v>
      </c>
      <c r="D16" s="10" t="s">
        <v>63</v>
      </c>
      <c r="E16" s="10" t="s">
        <v>24</v>
      </c>
      <c r="F16" s="10" t="s">
        <v>64</v>
      </c>
      <c r="G16" s="11">
        <v>28307</v>
      </c>
      <c r="H16" s="10" t="s">
        <v>35</v>
      </c>
      <c r="I16" s="10" t="s">
        <v>19</v>
      </c>
      <c r="J16" s="10" t="s">
        <v>37</v>
      </c>
      <c r="K16" s="10" t="str">
        <f ca="1">DATEDIF('DATA PENDUDUK'!$G16,TODAY(),"Y")&amp; " TAHUN"</f>
        <v>48 TAHUN</v>
      </c>
      <c r="L16" s="12" t="s">
        <v>21</v>
      </c>
    </row>
    <row r="17" spans="1:12" ht="20.100000000000001" customHeight="1" x14ac:dyDescent="0.25">
      <c r="A17" s="8">
        <f t="shared" si="0"/>
        <v>14</v>
      </c>
      <c r="B17" s="9" t="s">
        <v>65</v>
      </c>
      <c r="C17" s="9" t="s">
        <v>66</v>
      </c>
      <c r="D17" s="10" t="s">
        <v>67</v>
      </c>
      <c r="E17" s="10" t="s">
        <v>24</v>
      </c>
      <c r="F17" s="10" t="s">
        <v>68</v>
      </c>
      <c r="G17" s="11">
        <v>25917</v>
      </c>
      <c r="H17" s="10" t="s">
        <v>35</v>
      </c>
      <c r="I17" s="10" t="s">
        <v>26</v>
      </c>
      <c r="J17" s="10" t="s">
        <v>20</v>
      </c>
      <c r="K17" s="10" t="str">
        <f ca="1">DATEDIF('DATA PENDUDUK'!$G17,TODAY(),"Y")&amp; " TAHUN"</f>
        <v>54 TAHUN</v>
      </c>
      <c r="L17" s="12" t="s">
        <v>21</v>
      </c>
    </row>
    <row r="18" spans="1:12" ht="20.100000000000001" customHeight="1" x14ac:dyDescent="0.25">
      <c r="A18" s="8">
        <f t="shared" si="0"/>
        <v>15</v>
      </c>
      <c r="B18" s="9" t="s">
        <v>65</v>
      </c>
      <c r="C18" s="9" t="s">
        <v>69</v>
      </c>
      <c r="D18" s="10" t="s">
        <v>70</v>
      </c>
      <c r="E18" s="10" t="s">
        <v>16</v>
      </c>
      <c r="F18" s="10" t="s">
        <v>68</v>
      </c>
      <c r="G18" s="11">
        <v>30172</v>
      </c>
      <c r="H18" s="10" t="s">
        <v>35</v>
      </c>
      <c r="I18" s="10" t="s">
        <v>19</v>
      </c>
      <c r="J18" s="10" t="s">
        <v>37</v>
      </c>
      <c r="K18" s="10" t="str">
        <f ca="1">DATEDIF('DATA PENDUDUK'!$G18,TODAY(),"Y")&amp; " TAHUN"</f>
        <v>42 TAHUN</v>
      </c>
      <c r="L18" s="12" t="s">
        <v>21</v>
      </c>
    </row>
    <row r="19" spans="1:12" ht="20.100000000000001" customHeight="1" x14ac:dyDescent="0.25">
      <c r="A19" s="8">
        <f t="shared" si="0"/>
        <v>16</v>
      </c>
      <c r="B19" s="9" t="s">
        <v>65</v>
      </c>
      <c r="C19" s="9" t="s">
        <v>71</v>
      </c>
      <c r="D19" s="10" t="s">
        <v>72</v>
      </c>
      <c r="E19" s="10" t="s">
        <v>24</v>
      </c>
      <c r="F19" s="10" t="s">
        <v>68</v>
      </c>
      <c r="G19" s="11">
        <v>31734</v>
      </c>
      <c r="H19" s="10" t="s">
        <v>18</v>
      </c>
      <c r="I19" s="10" t="s">
        <v>73</v>
      </c>
      <c r="J19" s="10" t="s">
        <v>37</v>
      </c>
      <c r="K19" s="10" t="str">
        <f ca="1">DATEDIF('DATA PENDUDUK'!$G19,TODAY(),"Y")&amp; " TAHUN"</f>
        <v>38 TAHUN</v>
      </c>
      <c r="L19" s="12" t="s">
        <v>21</v>
      </c>
    </row>
    <row r="20" spans="1:12" ht="20.100000000000001" customHeight="1" x14ac:dyDescent="0.25">
      <c r="A20" s="8">
        <f t="shared" si="0"/>
        <v>17</v>
      </c>
      <c r="B20" s="9" t="s">
        <v>74</v>
      </c>
      <c r="C20" s="9" t="s">
        <v>75</v>
      </c>
      <c r="D20" s="10" t="s">
        <v>76</v>
      </c>
      <c r="E20" s="10" t="s">
        <v>16</v>
      </c>
      <c r="F20" s="10" t="s">
        <v>46</v>
      </c>
      <c r="G20" s="11">
        <v>30880</v>
      </c>
      <c r="H20" s="10" t="s">
        <v>35</v>
      </c>
      <c r="I20" s="10" t="s">
        <v>73</v>
      </c>
      <c r="J20" s="10" t="s">
        <v>20</v>
      </c>
      <c r="K20" s="10" t="str">
        <f ca="1">DATEDIF('DATA PENDUDUK'!$G20,TODAY(),"Y")&amp; " TAHUN"</f>
        <v>41 TAHUN</v>
      </c>
      <c r="L20" s="12" t="s">
        <v>21</v>
      </c>
    </row>
    <row r="21" spans="1:12" ht="20.100000000000001" customHeight="1" x14ac:dyDescent="0.25">
      <c r="A21" s="8">
        <f t="shared" si="0"/>
        <v>18</v>
      </c>
      <c r="B21" s="9" t="s">
        <v>74</v>
      </c>
      <c r="C21" s="9" t="s">
        <v>77</v>
      </c>
      <c r="D21" s="10" t="s">
        <v>78</v>
      </c>
      <c r="E21" s="10" t="s">
        <v>24</v>
      </c>
      <c r="F21" s="10" t="s">
        <v>79</v>
      </c>
      <c r="G21" s="11">
        <v>31675</v>
      </c>
      <c r="H21" s="10" t="s">
        <v>35</v>
      </c>
      <c r="I21" s="10" t="s">
        <v>19</v>
      </c>
      <c r="J21" s="10" t="s">
        <v>27</v>
      </c>
      <c r="K21" s="10" t="str">
        <f ca="1">DATEDIF('DATA PENDUDUK'!$G21,TODAY(),"Y")&amp; " TAHUN"</f>
        <v>38 TAHUN</v>
      </c>
      <c r="L21" s="12" t="s">
        <v>21</v>
      </c>
    </row>
    <row r="22" spans="1:12" ht="20.100000000000001" customHeight="1" x14ac:dyDescent="0.25">
      <c r="A22" s="8">
        <f t="shared" si="0"/>
        <v>19</v>
      </c>
      <c r="B22" s="9" t="s">
        <v>74</v>
      </c>
      <c r="C22" s="9" t="s">
        <v>80</v>
      </c>
      <c r="D22" s="10" t="s">
        <v>81</v>
      </c>
      <c r="E22" s="10" t="s">
        <v>24</v>
      </c>
      <c r="F22" s="10" t="s">
        <v>30</v>
      </c>
      <c r="G22" s="11">
        <v>39469</v>
      </c>
      <c r="H22" s="10" t="s">
        <v>35</v>
      </c>
      <c r="I22" s="10" t="s">
        <v>31</v>
      </c>
      <c r="J22" s="10" t="s">
        <v>32</v>
      </c>
      <c r="K22" s="10" t="str">
        <f ca="1">DATEDIF('DATA PENDUDUK'!$G22,TODAY(),"Y")&amp; " TAHUN"</f>
        <v>17 TAHUN</v>
      </c>
      <c r="L22" s="12" t="s">
        <v>21</v>
      </c>
    </row>
    <row r="23" spans="1:12" ht="20.100000000000001" customHeight="1" x14ac:dyDescent="0.25">
      <c r="A23" s="8">
        <f t="shared" si="0"/>
        <v>20</v>
      </c>
      <c r="B23" s="9" t="s">
        <v>74</v>
      </c>
      <c r="C23" s="9" t="s">
        <v>82</v>
      </c>
      <c r="D23" s="10" t="s">
        <v>83</v>
      </c>
      <c r="E23" s="10" t="s">
        <v>24</v>
      </c>
      <c r="F23" s="10" t="s">
        <v>30</v>
      </c>
      <c r="G23" s="11">
        <v>43945</v>
      </c>
      <c r="H23" s="10" t="s">
        <v>35</v>
      </c>
      <c r="I23" s="10" t="s">
        <v>40</v>
      </c>
      <c r="J23" s="10" t="s">
        <v>32</v>
      </c>
      <c r="K23" s="10" t="str">
        <f ca="1">DATEDIF('DATA PENDUDUK'!$G23,TODAY(),"Y")&amp; " TAHUN"</f>
        <v>5 TAHUN</v>
      </c>
      <c r="L23" s="12" t="s">
        <v>21</v>
      </c>
    </row>
    <row r="24" spans="1:12" ht="20.100000000000001" customHeight="1" x14ac:dyDescent="0.25">
      <c r="A24" s="8">
        <f t="shared" si="0"/>
        <v>21</v>
      </c>
      <c r="B24" s="9" t="s">
        <v>84</v>
      </c>
      <c r="C24" s="9" t="s">
        <v>85</v>
      </c>
      <c r="D24" s="10" t="s">
        <v>86</v>
      </c>
      <c r="E24" s="10" t="s">
        <v>24</v>
      </c>
      <c r="F24" s="10" t="s">
        <v>87</v>
      </c>
      <c r="G24" s="11">
        <v>29279</v>
      </c>
      <c r="H24" s="10" t="s">
        <v>35</v>
      </c>
      <c r="I24" s="10" t="s">
        <v>73</v>
      </c>
      <c r="J24" s="10" t="s">
        <v>20</v>
      </c>
      <c r="K24" s="10" t="str">
        <f ca="1">DATEDIF('DATA PENDUDUK'!$G24,TODAY(),"Y")&amp; " TAHUN"</f>
        <v>45 TAHUN</v>
      </c>
      <c r="L24" s="12" t="s">
        <v>21</v>
      </c>
    </row>
    <row r="25" spans="1:12" ht="20.100000000000001" customHeight="1" x14ac:dyDescent="0.25">
      <c r="A25" s="8">
        <f t="shared" si="0"/>
        <v>22</v>
      </c>
      <c r="B25" s="9" t="s">
        <v>84</v>
      </c>
      <c r="C25" s="9" t="s">
        <v>88</v>
      </c>
      <c r="D25" s="10" t="s">
        <v>89</v>
      </c>
      <c r="E25" s="10" t="s">
        <v>16</v>
      </c>
      <c r="F25" s="10" t="s">
        <v>87</v>
      </c>
      <c r="G25" s="11">
        <v>36481</v>
      </c>
      <c r="H25" s="10" t="s">
        <v>35</v>
      </c>
      <c r="I25" s="10" t="s">
        <v>40</v>
      </c>
      <c r="J25" s="10" t="s">
        <v>32</v>
      </c>
      <c r="K25" s="10" t="str">
        <f ca="1">DATEDIF('DATA PENDUDUK'!$G25,TODAY(),"Y")&amp; " TAHUN"</f>
        <v>25 TAHUN</v>
      </c>
      <c r="L25" s="12" t="s">
        <v>21</v>
      </c>
    </row>
    <row r="26" spans="1:12" ht="20.100000000000001" customHeight="1" x14ac:dyDescent="0.25">
      <c r="A26" s="8">
        <f t="shared" si="0"/>
        <v>23</v>
      </c>
      <c r="B26" s="9" t="s">
        <v>90</v>
      </c>
      <c r="C26" s="9" t="s">
        <v>91</v>
      </c>
      <c r="D26" s="10" t="s">
        <v>92</v>
      </c>
      <c r="E26" s="10" t="s">
        <v>16</v>
      </c>
      <c r="F26" s="10" t="s">
        <v>93</v>
      </c>
      <c r="G26" s="11">
        <v>27159</v>
      </c>
      <c r="H26" s="10" t="s">
        <v>35</v>
      </c>
      <c r="I26" s="10" t="s">
        <v>94</v>
      </c>
      <c r="J26" s="10" t="s">
        <v>20</v>
      </c>
      <c r="K26" s="10" t="str">
        <f ca="1">DATEDIF('DATA PENDUDUK'!$G26,TODAY(),"Y")&amp; " TAHUN"</f>
        <v>51 TAHUN</v>
      </c>
      <c r="L26" s="12" t="s">
        <v>21</v>
      </c>
    </row>
    <row r="27" spans="1:12" ht="20.100000000000001" customHeight="1" x14ac:dyDescent="0.25">
      <c r="A27" s="8">
        <f t="shared" si="0"/>
        <v>24</v>
      </c>
      <c r="B27" s="9" t="s">
        <v>90</v>
      </c>
      <c r="C27" s="9" t="s">
        <v>95</v>
      </c>
      <c r="D27" s="10" t="s">
        <v>96</v>
      </c>
      <c r="E27" s="10" t="s">
        <v>24</v>
      </c>
      <c r="F27" s="10" t="s">
        <v>46</v>
      </c>
      <c r="G27" s="11">
        <v>28744</v>
      </c>
      <c r="H27" s="10" t="s">
        <v>35</v>
      </c>
      <c r="I27" s="10" t="s">
        <v>19</v>
      </c>
      <c r="J27" s="10" t="s">
        <v>27</v>
      </c>
      <c r="K27" s="10" t="str">
        <f ca="1">DATEDIF('DATA PENDUDUK'!$G27,TODAY(),"Y")&amp; " TAHUN"</f>
        <v>46 TAHUN</v>
      </c>
      <c r="L27" s="12" t="s">
        <v>21</v>
      </c>
    </row>
    <row r="28" spans="1:12" ht="20.100000000000001" customHeight="1" x14ac:dyDescent="0.25">
      <c r="A28" s="8">
        <f t="shared" si="0"/>
        <v>25</v>
      </c>
      <c r="B28" s="9" t="s">
        <v>90</v>
      </c>
      <c r="C28" s="9" t="s">
        <v>97</v>
      </c>
      <c r="D28" s="10" t="s">
        <v>98</v>
      </c>
      <c r="E28" s="10" t="s">
        <v>16</v>
      </c>
      <c r="F28" s="10" t="s">
        <v>46</v>
      </c>
      <c r="G28" s="11">
        <v>35897</v>
      </c>
      <c r="H28" s="10" t="s">
        <v>35</v>
      </c>
      <c r="I28" s="10" t="s">
        <v>94</v>
      </c>
      <c r="J28" s="10" t="s">
        <v>32</v>
      </c>
      <c r="K28" s="10" t="str">
        <f ca="1">DATEDIF('DATA PENDUDUK'!$G28,TODAY(),"Y")&amp; " TAHUN"</f>
        <v>27 TAHUN</v>
      </c>
      <c r="L28" s="12" t="s">
        <v>21</v>
      </c>
    </row>
    <row r="29" spans="1:12" ht="20.100000000000001" customHeight="1" x14ac:dyDescent="0.25">
      <c r="A29" s="8">
        <f t="shared" si="0"/>
        <v>26</v>
      </c>
      <c r="B29" s="9" t="s">
        <v>90</v>
      </c>
      <c r="C29" s="9" t="s">
        <v>99</v>
      </c>
      <c r="D29" s="10" t="s">
        <v>100</v>
      </c>
      <c r="E29" s="10" t="s">
        <v>16</v>
      </c>
      <c r="F29" s="10" t="s">
        <v>30</v>
      </c>
      <c r="G29" s="11">
        <v>38322</v>
      </c>
      <c r="H29" s="10" t="s">
        <v>35</v>
      </c>
      <c r="I29" s="10" t="s">
        <v>31</v>
      </c>
      <c r="J29" s="10" t="s">
        <v>32</v>
      </c>
      <c r="K29" s="10" t="str">
        <f ca="1">DATEDIF('DATA PENDUDUK'!$G29,TODAY(),"Y")&amp; " TAHUN"</f>
        <v>20 TAHUN</v>
      </c>
      <c r="L29" s="12" t="s">
        <v>21</v>
      </c>
    </row>
    <row r="30" spans="1:12" ht="20.100000000000001" customHeight="1" x14ac:dyDescent="0.25">
      <c r="A30" s="8">
        <f t="shared" si="0"/>
        <v>27</v>
      </c>
      <c r="B30" s="9" t="s">
        <v>90</v>
      </c>
      <c r="C30" s="9" t="s">
        <v>101</v>
      </c>
      <c r="D30" s="10" t="s">
        <v>102</v>
      </c>
      <c r="E30" s="10" t="s">
        <v>24</v>
      </c>
      <c r="F30" s="10" t="s">
        <v>30</v>
      </c>
      <c r="G30" s="11">
        <v>38813</v>
      </c>
      <c r="H30" s="10" t="s">
        <v>35</v>
      </c>
      <c r="I30" s="10" t="s">
        <v>31</v>
      </c>
      <c r="J30" s="10" t="s">
        <v>32</v>
      </c>
      <c r="K30" s="10" t="str">
        <f ca="1">DATEDIF('DATA PENDUDUK'!$G30,TODAY(),"Y")&amp; " TAHUN"</f>
        <v>19 TAHUN</v>
      </c>
      <c r="L30" s="12" t="s">
        <v>21</v>
      </c>
    </row>
    <row r="31" spans="1:12" ht="20.100000000000001" customHeight="1" x14ac:dyDescent="0.25">
      <c r="A31" s="8">
        <f t="shared" si="0"/>
        <v>28</v>
      </c>
      <c r="B31" s="9" t="s">
        <v>90</v>
      </c>
      <c r="C31" s="9" t="s">
        <v>103</v>
      </c>
      <c r="D31" s="10" t="s">
        <v>104</v>
      </c>
      <c r="E31" s="10" t="s">
        <v>24</v>
      </c>
      <c r="F31" s="10" t="s">
        <v>30</v>
      </c>
      <c r="G31" s="11">
        <v>43153</v>
      </c>
      <c r="H31" s="10" t="s">
        <v>35</v>
      </c>
      <c r="I31" s="10" t="s">
        <v>40</v>
      </c>
      <c r="J31" s="10" t="s">
        <v>32</v>
      </c>
      <c r="K31" s="10" t="str">
        <f ca="1">DATEDIF('DATA PENDUDUK'!$G31,TODAY(),"Y")&amp; " TAHUN"</f>
        <v>7 TAHUN</v>
      </c>
      <c r="L31" s="12" t="s">
        <v>21</v>
      </c>
    </row>
    <row r="32" spans="1:12" ht="20.100000000000001" customHeight="1" x14ac:dyDescent="0.25">
      <c r="A32" s="8">
        <f t="shared" si="0"/>
        <v>29</v>
      </c>
      <c r="B32" s="9" t="s">
        <v>105</v>
      </c>
      <c r="C32" s="9" t="s">
        <v>106</v>
      </c>
      <c r="D32" s="10" t="s">
        <v>107</v>
      </c>
      <c r="E32" s="10" t="s">
        <v>16</v>
      </c>
      <c r="F32" s="10" t="s">
        <v>46</v>
      </c>
      <c r="G32" s="11">
        <v>29243</v>
      </c>
      <c r="H32" s="10" t="s">
        <v>35</v>
      </c>
      <c r="I32" s="10" t="s">
        <v>19</v>
      </c>
      <c r="J32" s="10" t="s">
        <v>20</v>
      </c>
      <c r="K32" s="10" t="str">
        <f ca="1">DATEDIF('DATA PENDUDUK'!$G32,TODAY(),"Y")&amp; " TAHUN"</f>
        <v>45 TAHUN</v>
      </c>
      <c r="L32" s="12" t="s">
        <v>21</v>
      </c>
    </row>
    <row r="33" spans="1:12" ht="20.100000000000001" customHeight="1" x14ac:dyDescent="0.25">
      <c r="A33" s="8">
        <f t="shared" si="0"/>
        <v>30</v>
      </c>
      <c r="B33" s="9" t="s">
        <v>105</v>
      </c>
      <c r="C33" s="9" t="s">
        <v>108</v>
      </c>
      <c r="D33" s="10" t="s">
        <v>109</v>
      </c>
      <c r="E33" s="10" t="s">
        <v>24</v>
      </c>
      <c r="F33" s="10" t="s">
        <v>110</v>
      </c>
      <c r="G33" s="11">
        <v>30332</v>
      </c>
      <c r="H33" s="10" t="s">
        <v>35</v>
      </c>
      <c r="I33" s="10" t="s">
        <v>19</v>
      </c>
      <c r="J33" s="10" t="s">
        <v>27</v>
      </c>
      <c r="K33" s="10" t="str">
        <f ca="1">DATEDIF('DATA PENDUDUK'!$G33,TODAY(),"Y")&amp; " TAHUN"</f>
        <v>42 TAHUN</v>
      </c>
      <c r="L33" s="12" t="s">
        <v>21</v>
      </c>
    </row>
    <row r="34" spans="1:12" ht="20.100000000000001" customHeight="1" x14ac:dyDescent="0.25">
      <c r="A34" s="8">
        <f t="shared" si="0"/>
        <v>31</v>
      </c>
      <c r="B34" s="9" t="s">
        <v>105</v>
      </c>
      <c r="C34" s="9" t="s">
        <v>111</v>
      </c>
      <c r="D34" s="10" t="s">
        <v>112</v>
      </c>
      <c r="E34" s="10" t="s">
        <v>24</v>
      </c>
      <c r="F34" s="10" t="s">
        <v>30</v>
      </c>
      <c r="G34" s="11">
        <v>37836</v>
      </c>
      <c r="H34" s="10" t="s">
        <v>35</v>
      </c>
      <c r="I34" s="10" t="s">
        <v>31</v>
      </c>
      <c r="J34" s="10" t="s">
        <v>32</v>
      </c>
      <c r="K34" s="10" t="str">
        <f ca="1">DATEDIF('DATA PENDUDUK'!$G34,TODAY(),"Y")&amp; " TAHUN"</f>
        <v>21 TAHUN</v>
      </c>
      <c r="L34" s="12" t="s">
        <v>21</v>
      </c>
    </row>
    <row r="35" spans="1:12" ht="20.100000000000001" customHeight="1" x14ac:dyDescent="0.25">
      <c r="A35" s="8">
        <f t="shared" si="0"/>
        <v>32</v>
      </c>
      <c r="B35" s="9" t="s">
        <v>105</v>
      </c>
      <c r="C35" s="9" t="s">
        <v>113</v>
      </c>
      <c r="D35" s="10" t="s">
        <v>114</v>
      </c>
      <c r="E35" s="10" t="s">
        <v>16</v>
      </c>
      <c r="F35" s="10" t="s">
        <v>46</v>
      </c>
      <c r="G35" s="11">
        <v>41080</v>
      </c>
      <c r="H35" s="10" t="s">
        <v>35</v>
      </c>
      <c r="I35" s="10" t="s">
        <v>31</v>
      </c>
      <c r="J35" s="10" t="s">
        <v>32</v>
      </c>
      <c r="K35" s="10" t="str">
        <f ca="1">DATEDIF('DATA PENDUDUK'!$G35,TODAY(),"Y")&amp; " TAHUN"</f>
        <v>13 TAHUN</v>
      </c>
      <c r="L35" s="12" t="s">
        <v>21</v>
      </c>
    </row>
    <row r="36" spans="1:12" ht="20.100000000000001" customHeight="1" x14ac:dyDescent="0.25">
      <c r="A36" s="8">
        <f t="shared" si="0"/>
        <v>33</v>
      </c>
      <c r="B36" s="9" t="s">
        <v>115</v>
      </c>
      <c r="C36" s="9" t="s">
        <v>116</v>
      </c>
      <c r="D36" s="10" t="s">
        <v>117</v>
      </c>
      <c r="E36" s="10" t="s">
        <v>16</v>
      </c>
      <c r="F36" s="10" t="s">
        <v>118</v>
      </c>
      <c r="G36" s="11">
        <v>24701</v>
      </c>
      <c r="H36" s="10" t="s">
        <v>35</v>
      </c>
      <c r="I36" s="10" t="s">
        <v>19</v>
      </c>
      <c r="J36" s="10" t="s">
        <v>20</v>
      </c>
      <c r="K36" s="10" t="str">
        <f ca="1">DATEDIF('DATA PENDUDUK'!$G36,TODAY(),"Y")&amp; " TAHUN"</f>
        <v>57 TAHUN</v>
      </c>
      <c r="L36" s="12" t="s">
        <v>21</v>
      </c>
    </row>
    <row r="37" spans="1:12" ht="20.100000000000001" customHeight="1" x14ac:dyDescent="0.25">
      <c r="A37" s="8">
        <f t="shared" si="0"/>
        <v>34</v>
      </c>
      <c r="B37" s="9" t="s">
        <v>115</v>
      </c>
      <c r="C37" s="9" t="s">
        <v>119</v>
      </c>
      <c r="D37" s="10" t="s">
        <v>120</v>
      </c>
      <c r="E37" s="10" t="s">
        <v>24</v>
      </c>
      <c r="F37" s="10" t="s">
        <v>118</v>
      </c>
      <c r="G37" s="11">
        <v>27260</v>
      </c>
      <c r="H37" s="10" t="s">
        <v>35</v>
      </c>
      <c r="I37" s="10" t="s">
        <v>26</v>
      </c>
      <c r="J37" s="10" t="s">
        <v>27</v>
      </c>
      <c r="K37" s="10" t="str">
        <f ca="1">DATEDIF('DATA PENDUDUK'!$G37,TODAY(),"Y")&amp; " TAHUN"</f>
        <v>50 TAHUN</v>
      </c>
      <c r="L37" s="12" t="s">
        <v>21</v>
      </c>
    </row>
    <row r="38" spans="1:12" ht="20.100000000000001" customHeight="1" x14ac:dyDescent="0.25">
      <c r="A38" s="8">
        <f t="shared" si="0"/>
        <v>35</v>
      </c>
      <c r="B38" s="9" t="s">
        <v>115</v>
      </c>
      <c r="C38" s="9" t="s">
        <v>121</v>
      </c>
      <c r="D38" s="10" t="s">
        <v>122</v>
      </c>
      <c r="E38" s="10" t="s">
        <v>16</v>
      </c>
      <c r="F38" s="10" t="s">
        <v>30</v>
      </c>
      <c r="G38" s="11">
        <v>35268</v>
      </c>
      <c r="H38" s="10" t="s">
        <v>35</v>
      </c>
      <c r="I38" s="10" t="s">
        <v>40</v>
      </c>
      <c r="J38" s="10" t="s">
        <v>32</v>
      </c>
      <c r="K38" s="10" t="str">
        <f ca="1">DATEDIF('DATA PENDUDUK'!$G38,TODAY(),"Y")&amp; " TAHUN"</f>
        <v>29 TAHUN</v>
      </c>
      <c r="L38" s="12" t="s">
        <v>21</v>
      </c>
    </row>
    <row r="39" spans="1:12" ht="20.100000000000001" customHeight="1" x14ac:dyDescent="0.25">
      <c r="A39" s="8">
        <f t="shared" si="0"/>
        <v>36</v>
      </c>
      <c r="B39" s="9" t="s">
        <v>115</v>
      </c>
      <c r="C39" s="9" t="s">
        <v>123</v>
      </c>
      <c r="D39" s="10" t="s">
        <v>124</v>
      </c>
      <c r="E39" s="10" t="s">
        <v>16</v>
      </c>
      <c r="F39" s="10" t="s">
        <v>30</v>
      </c>
      <c r="G39" s="11">
        <v>37215</v>
      </c>
      <c r="H39" s="10" t="s">
        <v>35</v>
      </c>
      <c r="I39" s="10" t="s">
        <v>40</v>
      </c>
      <c r="J39" s="10" t="s">
        <v>32</v>
      </c>
      <c r="K39" s="10" t="str">
        <f ca="1">DATEDIF('DATA PENDUDUK'!$G39,TODAY(),"Y")&amp; " TAHUN"</f>
        <v>23 TAHUN</v>
      </c>
      <c r="L39" s="12" t="s">
        <v>21</v>
      </c>
    </row>
    <row r="40" spans="1:12" ht="20.100000000000001" customHeight="1" x14ac:dyDescent="0.25">
      <c r="A40" s="8">
        <f t="shared" si="0"/>
        <v>37</v>
      </c>
      <c r="B40" s="9" t="s">
        <v>115</v>
      </c>
      <c r="C40" s="9" t="s">
        <v>125</v>
      </c>
      <c r="D40" s="10" t="s">
        <v>126</v>
      </c>
      <c r="E40" s="10" t="s">
        <v>16</v>
      </c>
      <c r="F40" s="10" t="s">
        <v>30</v>
      </c>
      <c r="G40" s="11">
        <v>38286</v>
      </c>
      <c r="H40" s="10" t="s">
        <v>35</v>
      </c>
      <c r="I40" s="10" t="s">
        <v>31</v>
      </c>
      <c r="J40" s="10" t="s">
        <v>32</v>
      </c>
      <c r="K40" s="10" t="str">
        <f ca="1">DATEDIF('DATA PENDUDUK'!$G40,TODAY(),"Y")&amp; " TAHUN"</f>
        <v>20 TAHUN</v>
      </c>
      <c r="L40" s="12" t="s">
        <v>21</v>
      </c>
    </row>
    <row r="41" spans="1:12" ht="20.100000000000001" customHeight="1" x14ac:dyDescent="0.25">
      <c r="A41" s="8">
        <f t="shared" si="0"/>
        <v>38</v>
      </c>
      <c r="B41" s="9" t="s">
        <v>115</v>
      </c>
      <c r="C41" s="9" t="s">
        <v>127</v>
      </c>
      <c r="D41" s="10" t="s">
        <v>128</v>
      </c>
      <c r="E41" s="10" t="s">
        <v>16</v>
      </c>
      <c r="F41" s="10" t="s">
        <v>30</v>
      </c>
      <c r="G41" s="11">
        <v>39207</v>
      </c>
      <c r="H41" s="10" t="s">
        <v>35</v>
      </c>
      <c r="I41" s="10" t="s">
        <v>31</v>
      </c>
      <c r="J41" s="10" t="s">
        <v>32</v>
      </c>
      <c r="K41" s="10" t="str">
        <f ca="1">DATEDIF('DATA PENDUDUK'!$G41,TODAY(),"Y")&amp; " TAHUN"</f>
        <v>18 TAHUN</v>
      </c>
      <c r="L41" s="12" t="s">
        <v>21</v>
      </c>
    </row>
    <row r="42" spans="1:12" ht="20.100000000000001" customHeight="1" x14ac:dyDescent="0.25">
      <c r="A42" s="8">
        <f t="shared" si="0"/>
        <v>39</v>
      </c>
      <c r="B42" s="9" t="s">
        <v>115</v>
      </c>
      <c r="C42" s="9" t="s">
        <v>129</v>
      </c>
      <c r="D42" s="10" t="s">
        <v>130</v>
      </c>
      <c r="E42" s="10" t="s">
        <v>24</v>
      </c>
      <c r="F42" s="10" t="s">
        <v>118</v>
      </c>
      <c r="G42" s="11">
        <v>38499</v>
      </c>
      <c r="H42" s="10" t="s">
        <v>35</v>
      </c>
      <c r="I42" s="10" t="s">
        <v>31</v>
      </c>
      <c r="J42" s="10" t="s">
        <v>37</v>
      </c>
      <c r="K42" s="10" t="str">
        <f ca="1">DATEDIF('DATA PENDUDUK'!$G42,TODAY(),"Y")&amp; " TAHUN"</f>
        <v>20 TAHUN</v>
      </c>
      <c r="L42" s="12" t="s">
        <v>21</v>
      </c>
    </row>
    <row r="43" spans="1:12" ht="20.100000000000001" customHeight="1" x14ac:dyDescent="0.25">
      <c r="A43" s="8">
        <f t="shared" si="0"/>
        <v>40</v>
      </c>
      <c r="B43" s="9" t="s">
        <v>131</v>
      </c>
      <c r="C43" s="9" t="s">
        <v>132</v>
      </c>
      <c r="D43" s="10" t="s">
        <v>133</v>
      </c>
      <c r="E43" s="10" t="s">
        <v>16</v>
      </c>
      <c r="F43" s="10" t="s">
        <v>134</v>
      </c>
      <c r="G43" s="11">
        <v>33689</v>
      </c>
      <c r="H43" s="10" t="s">
        <v>35</v>
      </c>
      <c r="I43" s="10" t="s">
        <v>19</v>
      </c>
      <c r="J43" s="10" t="s">
        <v>20</v>
      </c>
      <c r="K43" s="10" t="str">
        <f ca="1">DATEDIF('DATA PENDUDUK'!$G43,TODAY(),"Y")&amp; " TAHUN"</f>
        <v>33 TAHUN</v>
      </c>
      <c r="L43" s="12" t="s">
        <v>21</v>
      </c>
    </row>
    <row r="44" spans="1:12" ht="20.100000000000001" customHeight="1" x14ac:dyDescent="0.25">
      <c r="A44" s="8">
        <f t="shared" si="0"/>
        <v>41</v>
      </c>
      <c r="B44" s="9" t="s">
        <v>131</v>
      </c>
      <c r="C44" s="9" t="s">
        <v>135</v>
      </c>
      <c r="D44" s="10" t="s">
        <v>136</v>
      </c>
      <c r="E44" s="10" t="s">
        <v>24</v>
      </c>
      <c r="F44" s="10" t="s">
        <v>137</v>
      </c>
      <c r="G44" s="11">
        <v>34913</v>
      </c>
      <c r="H44" s="10" t="s">
        <v>35</v>
      </c>
      <c r="I44" s="10" t="s">
        <v>26</v>
      </c>
      <c r="J44" s="10" t="s">
        <v>27</v>
      </c>
      <c r="K44" s="10" t="str">
        <f ca="1">DATEDIF('DATA PENDUDUK'!$G44,TODAY(),"Y")&amp; " TAHUN"</f>
        <v>29 TAHUN</v>
      </c>
      <c r="L44" s="12" t="s">
        <v>21</v>
      </c>
    </row>
    <row r="45" spans="1:12" ht="20.100000000000001" customHeight="1" x14ac:dyDescent="0.25">
      <c r="A45" s="8">
        <f t="shared" si="0"/>
        <v>42</v>
      </c>
      <c r="B45" s="9" t="s">
        <v>131</v>
      </c>
      <c r="C45" s="9" t="s">
        <v>138</v>
      </c>
      <c r="D45" s="10" t="s">
        <v>139</v>
      </c>
      <c r="E45" s="10" t="s">
        <v>16</v>
      </c>
      <c r="F45" s="10" t="s">
        <v>30</v>
      </c>
      <c r="G45" s="11">
        <v>42711</v>
      </c>
      <c r="H45" s="10" t="s">
        <v>35</v>
      </c>
      <c r="I45" s="10" t="s">
        <v>31</v>
      </c>
      <c r="J45" s="10" t="s">
        <v>32</v>
      </c>
      <c r="K45" s="10" t="str">
        <f ca="1">DATEDIF('DATA PENDUDUK'!$G45,TODAY(),"Y")&amp; " TAHUN"</f>
        <v>8 TAHUN</v>
      </c>
      <c r="L45" s="12" t="s">
        <v>21</v>
      </c>
    </row>
    <row r="46" spans="1:12" ht="20.100000000000001" customHeight="1" x14ac:dyDescent="0.25">
      <c r="A46" s="8">
        <f t="shared" si="0"/>
        <v>43</v>
      </c>
      <c r="B46" s="9" t="s">
        <v>140</v>
      </c>
      <c r="C46" s="9" t="s">
        <v>141</v>
      </c>
      <c r="D46" s="10" t="s">
        <v>142</v>
      </c>
      <c r="E46" s="10" t="s">
        <v>16</v>
      </c>
      <c r="F46" s="10" t="s">
        <v>143</v>
      </c>
      <c r="G46" s="11">
        <v>29711</v>
      </c>
      <c r="H46" s="10" t="s">
        <v>35</v>
      </c>
      <c r="I46" s="10" t="s">
        <v>19</v>
      </c>
      <c r="J46" s="10" t="s">
        <v>20</v>
      </c>
      <c r="K46" s="10" t="str">
        <f ca="1">DATEDIF('DATA PENDUDUK'!$G46,TODAY(),"Y")&amp; " TAHUN"</f>
        <v>44 TAHUN</v>
      </c>
      <c r="L46" s="12" t="s">
        <v>21</v>
      </c>
    </row>
    <row r="47" spans="1:12" ht="20.100000000000001" customHeight="1" x14ac:dyDescent="0.25">
      <c r="A47" s="8">
        <f t="shared" si="0"/>
        <v>44</v>
      </c>
      <c r="B47" s="9" t="s">
        <v>144</v>
      </c>
      <c r="C47" s="9" t="s">
        <v>145</v>
      </c>
      <c r="D47" s="10" t="s">
        <v>146</v>
      </c>
      <c r="E47" s="10" t="s">
        <v>16</v>
      </c>
      <c r="F47" s="10" t="s">
        <v>147</v>
      </c>
      <c r="G47" s="11">
        <v>26838</v>
      </c>
      <c r="H47" s="10" t="s">
        <v>35</v>
      </c>
      <c r="I47" s="10" t="s">
        <v>19</v>
      </c>
      <c r="J47" s="10" t="s">
        <v>20</v>
      </c>
      <c r="K47" s="10" t="str">
        <f ca="1">DATEDIF('DATA PENDUDUK'!$G47,TODAY(),"Y")&amp; " TAHUN"</f>
        <v>52 TAHUN</v>
      </c>
      <c r="L47" s="12" t="s">
        <v>21</v>
      </c>
    </row>
    <row r="48" spans="1:12" ht="20.100000000000001" customHeight="1" x14ac:dyDescent="0.25">
      <c r="A48" s="8">
        <f t="shared" si="0"/>
        <v>45</v>
      </c>
      <c r="B48" s="9" t="s">
        <v>144</v>
      </c>
      <c r="C48" s="9" t="s">
        <v>148</v>
      </c>
      <c r="D48" s="10" t="s">
        <v>149</v>
      </c>
      <c r="E48" s="10" t="s">
        <v>24</v>
      </c>
      <c r="F48" s="10" t="s">
        <v>25</v>
      </c>
      <c r="G48" s="11">
        <v>29606</v>
      </c>
      <c r="H48" s="10" t="s">
        <v>35</v>
      </c>
      <c r="I48" s="10" t="s">
        <v>150</v>
      </c>
      <c r="J48" s="10" t="s">
        <v>27</v>
      </c>
      <c r="K48" s="10" t="str">
        <f ca="1">DATEDIF('DATA PENDUDUK'!$G48,TODAY(),"Y")&amp; " TAHUN"</f>
        <v>44 TAHUN</v>
      </c>
      <c r="L48" s="12" t="s">
        <v>21</v>
      </c>
    </row>
    <row r="49" spans="1:12" ht="20.100000000000001" customHeight="1" x14ac:dyDescent="0.25">
      <c r="A49" s="8">
        <f t="shared" si="0"/>
        <v>46</v>
      </c>
      <c r="B49" s="9" t="s">
        <v>144</v>
      </c>
      <c r="C49" s="9" t="s">
        <v>151</v>
      </c>
      <c r="D49" s="10" t="s">
        <v>152</v>
      </c>
      <c r="E49" s="10" t="s">
        <v>16</v>
      </c>
      <c r="F49" s="10" t="s">
        <v>30</v>
      </c>
      <c r="G49" s="11">
        <v>40705</v>
      </c>
      <c r="H49" s="10" t="s">
        <v>35</v>
      </c>
      <c r="I49" s="10" t="s">
        <v>31</v>
      </c>
      <c r="J49" s="10" t="s">
        <v>37</v>
      </c>
      <c r="K49" s="10" t="str">
        <f ca="1">DATEDIF('DATA PENDUDUK'!$G49,TODAY(),"Y")&amp; " TAHUN"</f>
        <v>14 TAHUN</v>
      </c>
      <c r="L49" s="12" t="s">
        <v>21</v>
      </c>
    </row>
    <row r="50" spans="1:12" ht="20.100000000000001" customHeight="1" x14ac:dyDescent="0.25">
      <c r="A50" s="8">
        <f t="shared" si="0"/>
        <v>47</v>
      </c>
      <c r="B50" s="9" t="s">
        <v>144</v>
      </c>
      <c r="C50" s="9" t="s">
        <v>153</v>
      </c>
      <c r="D50" s="10" t="s">
        <v>154</v>
      </c>
      <c r="E50" s="10" t="s">
        <v>16</v>
      </c>
      <c r="F50" s="10" t="s">
        <v>30</v>
      </c>
      <c r="G50" s="11">
        <v>41176</v>
      </c>
      <c r="H50" s="10" t="s">
        <v>35</v>
      </c>
      <c r="I50" s="10" t="s">
        <v>31</v>
      </c>
      <c r="J50" s="10" t="s">
        <v>37</v>
      </c>
      <c r="K50" s="10" t="str">
        <f ca="1">DATEDIF('DATA PENDUDUK'!$G50,TODAY(),"Y")&amp; " TAHUN"</f>
        <v>12 TAHUN</v>
      </c>
      <c r="L50" s="12" t="s">
        <v>21</v>
      </c>
    </row>
    <row r="51" spans="1:12" ht="20.100000000000001" customHeight="1" x14ac:dyDescent="0.25">
      <c r="A51" s="8">
        <f t="shared" si="0"/>
        <v>48</v>
      </c>
      <c r="B51" s="9" t="s">
        <v>155</v>
      </c>
      <c r="C51" s="9" t="s">
        <v>156</v>
      </c>
      <c r="D51" s="10" t="s">
        <v>157</v>
      </c>
      <c r="E51" s="10" t="s">
        <v>16</v>
      </c>
      <c r="F51" s="10" t="s">
        <v>158</v>
      </c>
      <c r="G51" s="11">
        <v>33316</v>
      </c>
      <c r="H51" s="10" t="s">
        <v>35</v>
      </c>
      <c r="I51" s="10" t="s">
        <v>19</v>
      </c>
      <c r="J51" s="10" t="s">
        <v>20</v>
      </c>
      <c r="K51" s="10" t="str">
        <f ca="1">DATEDIF('DATA PENDUDUK'!$G51,TODAY(),"Y")&amp; " TAHUN"</f>
        <v>34 TAHUN</v>
      </c>
      <c r="L51" s="12" t="s">
        <v>21</v>
      </c>
    </row>
    <row r="52" spans="1:12" ht="20.100000000000001" customHeight="1" x14ac:dyDescent="0.25">
      <c r="A52" s="8">
        <f t="shared" si="0"/>
        <v>49</v>
      </c>
      <c r="B52" s="9" t="s">
        <v>155</v>
      </c>
      <c r="C52" s="9" t="s">
        <v>159</v>
      </c>
      <c r="D52" s="10" t="s">
        <v>160</v>
      </c>
      <c r="E52" s="10" t="s">
        <v>24</v>
      </c>
      <c r="F52" s="10" t="s">
        <v>161</v>
      </c>
      <c r="G52" s="11">
        <v>31799</v>
      </c>
      <c r="H52" s="10" t="s">
        <v>35</v>
      </c>
      <c r="I52" s="10" t="s">
        <v>162</v>
      </c>
      <c r="J52" s="10" t="s">
        <v>27</v>
      </c>
      <c r="K52" s="10" t="str">
        <f ca="1">DATEDIF('DATA PENDUDUK'!$G52,TODAY(),"Y")&amp; " TAHUN"</f>
        <v>38 TAHUN</v>
      </c>
      <c r="L52" s="12" t="s">
        <v>21</v>
      </c>
    </row>
    <row r="53" spans="1:12" ht="20.100000000000001" customHeight="1" x14ac:dyDescent="0.25">
      <c r="A53" s="8">
        <f t="shared" si="0"/>
        <v>50</v>
      </c>
      <c r="B53" s="9" t="s">
        <v>155</v>
      </c>
      <c r="C53" s="9" t="s">
        <v>163</v>
      </c>
      <c r="D53" s="10" t="s">
        <v>164</v>
      </c>
      <c r="E53" s="10" t="s">
        <v>24</v>
      </c>
      <c r="F53" s="10" t="s">
        <v>30</v>
      </c>
      <c r="G53" s="11">
        <v>40235</v>
      </c>
      <c r="H53" s="10" t="s">
        <v>35</v>
      </c>
      <c r="I53" s="10" t="s">
        <v>31</v>
      </c>
      <c r="J53" s="10" t="s">
        <v>32</v>
      </c>
      <c r="K53" s="10" t="str">
        <f ca="1">DATEDIF('DATA PENDUDUK'!$G53,TODAY(),"Y")&amp; " TAHUN"</f>
        <v>15 TAHUN</v>
      </c>
      <c r="L53" s="12" t="s">
        <v>21</v>
      </c>
    </row>
    <row r="54" spans="1:12" ht="20.100000000000001" customHeight="1" x14ac:dyDescent="0.25">
      <c r="A54" s="8">
        <f t="shared" si="0"/>
        <v>51</v>
      </c>
      <c r="B54" s="9" t="s">
        <v>165</v>
      </c>
      <c r="C54" s="9" t="s">
        <v>166</v>
      </c>
      <c r="D54" s="10" t="s">
        <v>167</v>
      </c>
      <c r="E54" s="10" t="s">
        <v>24</v>
      </c>
      <c r="F54" s="10" t="s">
        <v>87</v>
      </c>
      <c r="G54" s="11">
        <v>24383</v>
      </c>
      <c r="H54" s="10" t="s">
        <v>35</v>
      </c>
      <c r="I54" s="10" t="s">
        <v>19</v>
      </c>
      <c r="J54" s="10" t="s">
        <v>20</v>
      </c>
      <c r="K54" s="10" t="str">
        <f ca="1">DATEDIF('DATA PENDUDUK'!$G54,TODAY(),"Y")&amp; " TAHUN"</f>
        <v>58 TAHUN</v>
      </c>
      <c r="L54" s="12" t="s">
        <v>21</v>
      </c>
    </row>
    <row r="55" spans="1:12" ht="20.100000000000001" customHeight="1" x14ac:dyDescent="0.25">
      <c r="A55" s="8">
        <f t="shared" si="0"/>
        <v>52</v>
      </c>
      <c r="B55" s="9" t="s">
        <v>165</v>
      </c>
      <c r="C55" s="9" t="s">
        <v>168</v>
      </c>
      <c r="D55" s="10" t="s">
        <v>169</v>
      </c>
      <c r="E55" s="10" t="s">
        <v>24</v>
      </c>
      <c r="F55" s="10" t="s">
        <v>170</v>
      </c>
      <c r="G55" s="11">
        <v>27551</v>
      </c>
      <c r="H55" s="10" t="s">
        <v>35</v>
      </c>
      <c r="I55" s="10" t="s">
        <v>19</v>
      </c>
      <c r="J55" s="10" t="s">
        <v>37</v>
      </c>
      <c r="K55" s="10" t="str">
        <f ca="1">DATEDIF('DATA PENDUDUK'!$G55,TODAY(),"Y")&amp; " TAHUN"</f>
        <v>50 TAHUN</v>
      </c>
      <c r="L55" s="12" t="s">
        <v>21</v>
      </c>
    </row>
    <row r="56" spans="1:12" ht="20.100000000000001" customHeight="1" x14ac:dyDescent="0.25">
      <c r="A56" s="8">
        <f t="shared" si="0"/>
        <v>53</v>
      </c>
      <c r="B56" s="9" t="s">
        <v>171</v>
      </c>
      <c r="C56" s="9" t="s">
        <v>172</v>
      </c>
      <c r="D56" s="10" t="s">
        <v>173</v>
      </c>
      <c r="E56" s="10" t="s">
        <v>16</v>
      </c>
      <c r="F56" s="10" t="s">
        <v>174</v>
      </c>
      <c r="G56" s="11">
        <v>21736</v>
      </c>
      <c r="H56" s="10" t="s">
        <v>35</v>
      </c>
      <c r="I56" s="10" t="s">
        <v>19</v>
      </c>
      <c r="J56" s="10" t="s">
        <v>20</v>
      </c>
      <c r="K56" s="10" t="str">
        <f ca="1">DATEDIF('DATA PENDUDUK'!$G56,TODAY(),"Y")&amp; " TAHUN"</f>
        <v>66 TAHUN</v>
      </c>
      <c r="L56" s="12" t="s">
        <v>21</v>
      </c>
    </row>
    <row r="57" spans="1:12" ht="20.100000000000001" customHeight="1" x14ac:dyDescent="0.25">
      <c r="A57" s="8">
        <f t="shared" si="0"/>
        <v>54</v>
      </c>
      <c r="B57" s="9" t="s">
        <v>171</v>
      </c>
      <c r="C57" s="9" t="s">
        <v>175</v>
      </c>
      <c r="D57" s="10" t="s">
        <v>176</v>
      </c>
      <c r="E57" s="10" t="s">
        <v>24</v>
      </c>
      <c r="F57" s="10" t="s">
        <v>68</v>
      </c>
      <c r="G57" s="11">
        <v>25387</v>
      </c>
      <c r="H57" s="10" t="s">
        <v>35</v>
      </c>
      <c r="I57" s="10" t="s">
        <v>19</v>
      </c>
      <c r="J57" s="10" t="s">
        <v>27</v>
      </c>
      <c r="K57" s="10" t="str">
        <f ca="1">DATEDIF('DATA PENDUDUK'!$G57,TODAY(),"Y")&amp; " TAHUN"</f>
        <v>56 TAHUN</v>
      </c>
      <c r="L57" s="12" t="s">
        <v>21</v>
      </c>
    </row>
    <row r="58" spans="1:12" ht="20.100000000000001" customHeight="1" x14ac:dyDescent="0.25">
      <c r="A58" s="8">
        <f t="shared" si="0"/>
        <v>55</v>
      </c>
      <c r="B58" s="9" t="s">
        <v>171</v>
      </c>
      <c r="C58" s="9" t="s">
        <v>177</v>
      </c>
      <c r="D58" s="10" t="s">
        <v>178</v>
      </c>
      <c r="E58" s="10" t="s">
        <v>24</v>
      </c>
      <c r="F58" s="10" t="s">
        <v>68</v>
      </c>
      <c r="G58" s="11">
        <v>34983</v>
      </c>
      <c r="H58" s="10" t="s">
        <v>35</v>
      </c>
      <c r="I58" s="10" t="s">
        <v>19</v>
      </c>
      <c r="J58" s="10" t="s">
        <v>37</v>
      </c>
      <c r="K58" s="10" t="str">
        <f ca="1">DATEDIF('DATA PENDUDUK'!$G58,TODAY(),"Y")&amp; " TAHUN"</f>
        <v>29 TAHUN</v>
      </c>
      <c r="L58" s="12" t="s">
        <v>21</v>
      </c>
    </row>
    <row r="59" spans="1:12" ht="20.100000000000001" customHeight="1" x14ac:dyDescent="0.25">
      <c r="A59" s="8">
        <f t="shared" si="0"/>
        <v>56</v>
      </c>
      <c r="B59" s="9" t="s">
        <v>179</v>
      </c>
      <c r="C59" s="9" t="s">
        <v>180</v>
      </c>
      <c r="D59" s="10" t="s">
        <v>181</v>
      </c>
      <c r="E59" s="10" t="s">
        <v>16</v>
      </c>
      <c r="F59" s="10" t="s">
        <v>46</v>
      </c>
      <c r="G59" s="11">
        <v>30237</v>
      </c>
      <c r="H59" s="10" t="s">
        <v>35</v>
      </c>
      <c r="I59" s="10" t="s">
        <v>19</v>
      </c>
      <c r="J59" s="10" t="s">
        <v>20</v>
      </c>
      <c r="K59" s="10" t="str">
        <f ca="1">DATEDIF('DATA PENDUDUK'!$G59,TODAY(),"Y")&amp; " TAHUN"</f>
        <v>42 TAHUN</v>
      </c>
      <c r="L59" s="12" t="s">
        <v>21</v>
      </c>
    </row>
    <row r="60" spans="1:12" ht="20.100000000000001" customHeight="1" x14ac:dyDescent="0.25">
      <c r="A60" s="8">
        <f t="shared" si="0"/>
        <v>57</v>
      </c>
      <c r="B60" s="9" t="s">
        <v>179</v>
      </c>
      <c r="C60" s="9" t="s">
        <v>182</v>
      </c>
      <c r="D60" s="10" t="s">
        <v>183</v>
      </c>
      <c r="E60" s="10" t="s">
        <v>24</v>
      </c>
      <c r="F60" s="10" t="s">
        <v>46</v>
      </c>
      <c r="G60" s="11">
        <v>34262</v>
      </c>
      <c r="H60" s="10" t="s">
        <v>35</v>
      </c>
      <c r="I60" s="10" t="s">
        <v>19</v>
      </c>
      <c r="J60" s="10" t="s">
        <v>27</v>
      </c>
      <c r="K60" s="10" t="str">
        <f ca="1">DATEDIF('DATA PENDUDUK'!$G60,TODAY(),"Y")&amp; " TAHUN"</f>
        <v>31 TAHUN</v>
      </c>
      <c r="L60" s="12" t="s">
        <v>21</v>
      </c>
    </row>
    <row r="61" spans="1:12" ht="20.100000000000001" customHeight="1" x14ac:dyDescent="0.25">
      <c r="A61" s="8">
        <f t="shared" si="0"/>
        <v>58</v>
      </c>
      <c r="B61" s="9" t="s">
        <v>179</v>
      </c>
      <c r="C61" s="9" t="s">
        <v>184</v>
      </c>
      <c r="D61" s="10" t="s">
        <v>185</v>
      </c>
      <c r="E61" s="10" t="s">
        <v>24</v>
      </c>
      <c r="F61" s="10" t="s">
        <v>46</v>
      </c>
      <c r="G61" s="11">
        <v>42390</v>
      </c>
      <c r="H61" s="10" t="s">
        <v>35</v>
      </c>
      <c r="I61" s="10" t="s">
        <v>31</v>
      </c>
      <c r="J61" s="10" t="s">
        <v>32</v>
      </c>
      <c r="K61" s="10" t="str">
        <f ca="1">DATEDIF('DATA PENDUDUK'!$G61,TODAY(),"Y")&amp; " TAHUN"</f>
        <v>9 TAHUN</v>
      </c>
      <c r="L61" s="12" t="s">
        <v>21</v>
      </c>
    </row>
    <row r="62" spans="1:12" ht="20.100000000000001" customHeight="1" x14ac:dyDescent="0.25">
      <c r="A62" s="8">
        <f t="shared" si="0"/>
        <v>59</v>
      </c>
      <c r="B62" s="9" t="s">
        <v>65</v>
      </c>
      <c r="C62" s="9" t="s">
        <v>66</v>
      </c>
      <c r="D62" s="10" t="s">
        <v>67</v>
      </c>
      <c r="E62" s="10" t="s">
        <v>24</v>
      </c>
      <c r="F62" s="10" t="s">
        <v>68</v>
      </c>
      <c r="G62" s="11">
        <v>25917</v>
      </c>
      <c r="H62" s="10" t="s">
        <v>35</v>
      </c>
      <c r="I62" s="10" t="s">
        <v>26</v>
      </c>
      <c r="J62" s="10" t="s">
        <v>20</v>
      </c>
      <c r="K62" s="10" t="str">
        <f ca="1">DATEDIF('DATA PENDUDUK'!$G62,TODAY(),"Y")&amp; " TAHUN"</f>
        <v>54 TAHUN</v>
      </c>
      <c r="L62" s="12" t="s">
        <v>21</v>
      </c>
    </row>
    <row r="63" spans="1:12" ht="20.100000000000001" customHeight="1" x14ac:dyDescent="0.25">
      <c r="A63" s="8">
        <f t="shared" si="0"/>
        <v>60</v>
      </c>
      <c r="B63" s="9" t="s">
        <v>186</v>
      </c>
      <c r="C63" s="9" t="s">
        <v>187</v>
      </c>
      <c r="D63" s="10" t="s">
        <v>188</v>
      </c>
      <c r="E63" s="10" t="s">
        <v>16</v>
      </c>
      <c r="F63" s="10" t="s">
        <v>189</v>
      </c>
      <c r="G63" s="11">
        <v>19277</v>
      </c>
      <c r="H63" s="10" t="s">
        <v>35</v>
      </c>
      <c r="I63" s="10" t="s">
        <v>40</v>
      </c>
      <c r="J63" s="10" t="s">
        <v>20</v>
      </c>
      <c r="K63" s="10" t="str">
        <f ca="1">DATEDIF('DATA PENDUDUK'!$G63,TODAY(),"Y")&amp; " TAHUN"</f>
        <v>72 TAHUN</v>
      </c>
      <c r="L63" s="12" t="s">
        <v>21</v>
      </c>
    </row>
    <row r="64" spans="1:12" ht="20.100000000000001" customHeight="1" x14ac:dyDescent="0.25">
      <c r="A64" s="8">
        <f t="shared" si="0"/>
        <v>61</v>
      </c>
      <c r="B64" s="9" t="s">
        <v>186</v>
      </c>
      <c r="C64" s="9" t="s">
        <v>56</v>
      </c>
      <c r="D64" s="10" t="s">
        <v>57</v>
      </c>
      <c r="E64" s="10" t="s">
        <v>24</v>
      </c>
      <c r="F64" s="10" t="s">
        <v>58</v>
      </c>
      <c r="G64" s="11">
        <v>27652</v>
      </c>
      <c r="H64" s="10" t="s">
        <v>35</v>
      </c>
      <c r="I64" s="10" t="s">
        <v>19</v>
      </c>
      <c r="J64" s="10" t="s">
        <v>37</v>
      </c>
      <c r="K64" s="10" t="str">
        <f ca="1">DATEDIF('DATA PENDUDUK'!$G64,TODAY(),"Y")&amp; " TAHUN"</f>
        <v>49 TAHUN</v>
      </c>
      <c r="L64" s="12" t="s">
        <v>21</v>
      </c>
    </row>
    <row r="65" spans="1:12" ht="20.100000000000001" customHeight="1" x14ac:dyDescent="0.25">
      <c r="A65" s="8">
        <f t="shared" si="0"/>
        <v>62</v>
      </c>
      <c r="B65" s="9" t="s">
        <v>190</v>
      </c>
      <c r="C65" s="9" t="s">
        <v>191</v>
      </c>
      <c r="D65" s="10" t="s">
        <v>192</v>
      </c>
      <c r="E65" s="10" t="s">
        <v>16</v>
      </c>
      <c r="F65" s="10" t="s">
        <v>46</v>
      </c>
      <c r="G65" s="11">
        <v>27319</v>
      </c>
      <c r="H65" s="10" t="s">
        <v>35</v>
      </c>
      <c r="I65" s="10" t="s">
        <v>19</v>
      </c>
      <c r="J65" s="10" t="s">
        <v>20</v>
      </c>
      <c r="K65" s="10" t="str">
        <f ca="1">DATEDIF('DATA PENDUDUK'!$G65,TODAY(),"Y")&amp; " TAHUN"</f>
        <v>50 TAHUN</v>
      </c>
      <c r="L65" s="12" t="s">
        <v>21</v>
      </c>
    </row>
    <row r="66" spans="1:12" ht="20.100000000000001" customHeight="1" x14ac:dyDescent="0.25">
      <c r="A66" s="8">
        <f t="shared" si="0"/>
        <v>63</v>
      </c>
      <c r="B66" s="9" t="s">
        <v>190</v>
      </c>
      <c r="C66" s="9" t="s">
        <v>193</v>
      </c>
      <c r="D66" s="10" t="s">
        <v>194</v>
      </c>
      <c r="E66" s="10" t="s">
        <v>24</v>
      </c>
      <c r="F66" s="10" t="s">
        <v>195</v>
      </c>
      <c r="G66" s="11">
        <v>29344</v>
      </c>
      <c r="H66" s="10" t="s">
        <v>35</v>
      </c>
      <c r="I66" s="10" t="s">
        <v>19</v>
      </c>
      <c r="J66" s="10" t="s">
        <v>27</v>
      </c>
      <c r="K66" s="10" t="str">
        <f ca="1">DATEDIF('DATA PENDUDUK'!$G66,TODAY(),"Y")&amp; " TAHUN"</f>
        <v>45 TAHUN</v>
      </c>
      <c r="L66" s="12" t="s">
        <v>21</v>
      </c>
    </row>
    <row r="67" spans="1:12" ht="20.100000000000001" customHeight="1" x14ac:dyDescent="0.25">
      <c r="A67" s="8">
        <f t="shared" si="0"/>
        <v>64</v>
      </c>
      <c r="B67" s="9" t="s">
        <v>190</v>
      </c>
      <c r="C67" s="9" t="s">
        <v>196</v>
      </c>
      <c r="D67" s="10" t="s">
        <v>197</v>
      </c>
      <c r="E67" s="10" t="s">
        <v>24</v>
      </c>
      <c r="F67" s="10" t="s">
        <v>30</v>
      </c>
      <c r="G67" s="11">
        <v>39436</v>
      </c>
      <c r="H67" s="10" t="s">
        <v>35</v>
      </c>
      <c r="I67" s="10" t="s">
        <v>31</v>
      </c>
      <c r="J67" s="10" t="s">
        <v>32</v>
      </c>
      <c r="K67" s="10" t="str">
        <f ca="1">DATEDIF('DATA PENDUDUK'!$G67,TODAY(),"Y")&amp; " TAHUN"</f>
        <v>17 TAHUN</v>
      </c>
      <c r="L67" s="12" t="s">
        <v>21</v>
      </c>
    </row>
    <row r="68" spans="1:12" ht="20.100000000000001" customHeight="1" x14ac:dyDescent="0.25">
      <c r="A68" s="8">
        <f t="shared" si="0"/>
        <v>65</v>
      </c>
      <c r="B68" s="9" t="s">
        <v>190</v>
      </c>
      <c r="C68" s="9" t="s">
        <v>198</v>
      </c>
      <c r="D68" s="10" t="s">
        <v>199</v>
      </c>
      <c r="E68" s="10" t="s">
        <v>24</v>
      </c>
      <c r="F68" s="10" t="s">
        <v>30</v>
      </c>
      <c r="G68" s="11">
        <v>42854</v>
      </c>
      <c r="H68" s="10" t="s">
        <v>35</v>
      </c>
      <c r="I68" s="10" t="s">
        <v>31</v>
      </c>
      <c r="J68" s="10" t="s">
        <v>32</v>
      </c>
      <c r="K68" s="10" t="str">
        <f ca="1">DATEDIF('DATA PENDUDUK'!$G68,TODAY(),"Y")&amp; " TAHUN"</f>
        <v>8 TAHUN</v>
      </c>
      <c r="L68" s="12" t="s">
        <v>21</v>
      </c>
    </row>
    <row r="69" spans="1:12" ht="20.100000000000001" customHeight="1" x14ac:dyDescent="0.25">
      <c r="A69" s="8">
        <f t="shared" si="0"/>
        <v>66</v>
      </c>
      <c r="B69" s="9" t="s">
        <v>190</v>
      </c>
      <c r="C69" s="9" t="s">
        <v>200</v>
      </c>
      <c r="D69" s="10" t="s">
        <v>201</v>
      </c>
      <c r="E69" s="10" t="s">
        <v>16</v>
      </c>
      <c r="F69" s="10" t="s">
        <v>30</v>
      </c>
      <c r="G69" s="11">
        <v>43725</v>
      </c>
      <c r="H69" s="10" t="s">
        <v>35</v>
      </c>
      <c r="I69" s="10" t="s">
        <v>40</v>
      </c>
      <c r="J69" s="10" t="s">
        <v>32</v>
      </c>
      <c r="K69" s="10" t="str">
        <f ca="1">DATEDIF('DATA PENDUDUK'!$G69,TODAY(),"Y")&amp; " TAHUN"</f>
        <v>5 TAHUN</v>
      </c>
      <c r="L69" s="12" t="s">
        <v>21</v>
      </c>
    </row>
    <row r="70" spans="1:12" ht="20.100000000000001" customHeight="1" x14ac:dyDescent="0.25">
      <c r="A70" s="8">
        <f t="shared" ref="A70:A133" si="1">IF(D70="","",ROW()-3)</f>
        <v>67</v>
      </c>
      <c r="B70" s="9" t="s">
        <v>202</v>
      </c>
      <c r="C70" s="9" t="s">
        <v>203</v>
      </c>
      <c r="D70" s="10" t="s">
        <v>204</v>
      </c>
      <c r="E70" s="10" t="s">
        <v>16</v>
      </c>
      <c r="F70" s="10" t="s">
        <v>205</v>
      </c>
      <c r="G70" s="11">
        <v>25795</v>
      </c>
      <c r="H70" s="10" t="s">
        <v>35</v>
      </c>
      <c r="I70" s="10" t="s">
        <v>19</v>
      </c>
      <c r="J70" s="10" t="s">
        <v>20</v>
      </c>
      <c r="K70" s="10" t="str">
        <f ca="1">DATEDIF('DATA PENDUDUK'!$G70,TODAY(),"Y")&amp; " TAHUN"</f>
        <v>54 TAHUN</v>
      </c>
      <c r="L70" s="12" t="s">
        <v>21</v>
      </c>
    </row>
    <row r="71" spans="1:12" ht="20.100000000000001" customHeight="1" x14ac:dyDescent="0.25">
      <c r="A71" s="8">
        <f t="shared" si="1"/>
        <v>68</v>
      </c>
      <c r="B71" s="9" t="s">
        <v>206</v>
      </c>
      <c r="C71" s="9" t="s">
        <v>77</v>
      </c>
      <c r="D71" s="10" t="s">
        <v>78</v>
      </c>
      <c r="E71" s="10" t="s">
        <v>24</v>
      </c>
      <c r="F71" s="10" t="s">
        <v>79</v>
      </c>
      <c r="G71" s="11">
        <v>31675</v>
      </c>
      <c r="H71" s="10" t="s">
        <v>35</v>
      </c>
      <c r="I71" s="10" t="s">
        <v>19</v>
      </c>
      <c r="J71" s="10" t="s">
        <v>20</v>
      </c>
      <c r="K71" s="10" t="str">
        <f ca="1">DATEDIF('DATA PENDUDUK'!$G71,TODAY(),"Y")&amp; " TAHUN"</f>
        <v>38 TAHUN</v>
      </c>
      <c r="L71" s="12" t="s">
        <v>21</v>
      </c>
    </row>
    <row r="72" spans="1:12" ht="20.100000000000001" customHeight="1" x14ac:dyDescent="0.25">
      <c r="A72" s="8">
        <f t="shared" si="1"/>
        <v>69</v>
      </c>
      <c r="B72" s="9" t="s">
        <v>206</v>
      </c>
      <c r="C72" s="9" t="s">
        <v>207</v>
      </c>
      <c r="D72" s="10" t="s">
        <v>83</v>
      </c>
      <c r="E72" s="10" t="s">
        <v>24</v>
      </c>
      <c r="F72" s="10" t="s">
        <v>208</v>
      </c>
      <c r="G72" s="11">
        <v>43931</v>
      </c>
      <c r="H72" s="10" t="s">
        <v>35</v>
      </c>
      <c r="I72" s="10" t="s">
        <v>40</v>
      </c>
      <c r="J72" s="10" t="s">
        <v>32</v>
      </c>
      <c r="K72" s="10" t="str">
        <f ca="1">DATEDIF('DATA PENDUDUK'!$G72,TODAY(),"Y")&amp; " TAHUN"</f>
        <v>5 TAHUN</v>
      </c>
      <c r="L72" s="12" t="s">
        <v>21</v>
      </c>
    </row>
    <row r="73" spans="1:12" ht="20.100000000000001" customHeight="1" x14ac:dyDescent="0.25">
      <c r="A73" s="8">
        <f t="shared" si="1"/>
        <v>70</v>
      </c>
      <c r="B73" s="9" t="s">
        <v>209</v>
      </c>
      <c r="C73" s="9" t="s">
        <v>210</v>
      </c>
      <c r="D73" s="10" t="s">
        <v>211</v>
      </c>
      <c r="E73" s="10" t="s">
        <v>16</v>
      </c>
      <c r="F73" s="10" t="s">
        <v>25</v>
      </c>
      <c r="G73" s="11">
        <v>32330</v>
      </c>
      <c r="H73" s="10" t="s">
        <v>18</v>
      </c>
      <c r="I73" s="10" t="s">
        <v>19</v>
      </c>
      <c r="J73" s="10" t="s">
        <v>20</v>
      </c>
      <c r="K73" s="10" t="str">
        <f ca="1">DATEDIF('DATA PENDUDUK'!$G73,TODAY(),"Y")&amp; " TAHUN"</f>
        <v>37 TAHUN</v>
      </c>
      <c r="L73" s="12" t="s">
        <v>21</v>
      </c>
    </row>
    <row r="74" spans="1:12" ht="20.100000000000001" customHeight="1" x14ac:dyDescent="0.25">
      <c r="A74" s="8">
        <f t="shared" si="1"/>
        <v>71</v>
      </c>
      <c r="B74" s="9" t="s">
        <v>209</v>
      </c>
      <c r="C74" s="9" t="s">
        <v>212</v>
      </c>
      <c r="D74" s="10" t="s">
        <v>213</v>
      </c>
      <c r="E74" s="10" t="s">
        <v>24</v>
      </c>
      <c r="F74" s="10" t="s">
        <v>214</v>
      </c>
      <c r="G74" s="11">
        <v>32359</v>
      </c>
      <c r="H74" s="10" t="s">
        <v>18</v>
      </c>
      <c r="I74" s="10" t="s">
        <v>26</v>
      </c>
      <c r="J74" s="10" t="s">
        <v>27</v>
      </c>
      <c r="K74" s="10" t="str">
        <f ca="1">DATEDIF('DATA PENDUDUK'!$G74,TODAY(),"Y")&amp; " TAHUN"</f>
        <v>36 TAHUN</v>
      </c>
      <c r="L74" s="12" t="s">
        <v>21</v>
      </c>
    </row>
    <row r="75" spans="1:12" ht="20.100000000000001" customHeight="1" x14ac:dyDescent="0.25">
      <c r="A75" s="8">
        <f t="shared" si="1"/>
        <v>72</v>
      </c>
      <c r="B75" s="9" t="s">
        <v>209</v>
      </c>
      <c r="C75" s="9" t="s">
        <v>215</v>
      </c>
      <c r="D75" s="10" t="s">
        <v>216</v>
      </c>
      <c r="E75" s="10" t="s">
        <v>24</v>
      </c>
      <c r="F75" s="10" t="s">
        <v>214</v>
      </c>
      <c r="G75" s="11">
        <v>41273</v>
      </c>
      <c r="H75" s="10" t="s">
        <v>18</v>
      </c>
      <c r="I75" s="10" t="s">
        <v>31</v>
      </c>
      <c r="J75" s="10" t="s">
        <v>32</v>
      </c>
      <c r="K75" s="10" t="str">
        <f ca="1">DATEDIF('DATA PENDUDUK'!$G75,TODAY(),"Y")&amp; " TAHUN"</f>
        <v>12 TAHUN</v>
      </c>
      <c r="L75" s="12" t="s">
        <v>21</v>
      </c>
    </row>
    <row r="76" spans="1:12" ht="20.100000000000001" customHeight="1" x14ac:dyDescent="0.25">
      <c r="A76" s="8">
        <f t="shared" si="1"/>
        <v>73</v>
      </c>
      <c r="B76" s="9" t="s">
        <v>209</v>
      </c>
      <c r="C76" s="9" t="s">
        <v>217</v>
      </c>
      <c r="D76" s="10" t="s">
        <v>218</v>
      </c>
      <c r="E76" s="10" t="s">
        <v>24</v>
      </c>
      <c r="F76" s="10" t="s">
        <v>30</v>
      </c>
      <c r="G76" s="11">
        <v>42556</v>
      </c>
      <c r="H76" s="10" t="s">
        <v>18</v>
      </c>
      <c r="I76" s="10" t="s">
        <v>31</v>
      </c>
      <c r="J76" s="10" t="s">
        <v>32</v>
      </c>
      <c r="K76" s="10" t="str">
        <f ca="1">DATEDIF('DATA PENDUDUK'!$G76,TODAY(),"Y")&amp; " TAHUN"</f>
        <v>9 TAHUN</v>
      </c>
      <c r="L76" s="12" t="s">
        <v>21</v>
      </c>
    </row>
    <row r="77" spans="1:12" ht="20.100000000000001" customHeight="1" x14ac:dyDescent="0.25">
      <c r="A77" s="8">
        <f t="shared" si="1"/>
        <v>74</v>
      </c>
      <c r="B77" s="9" t="s">
        <v>219</v>
      </c>
      <c r="C77" s="9" t="s">
        <v>220</v>
      </c>
      <c r="D77" s="10" t="s">
        <v>221</v>
      </c>
      <c r="E77" s="10" t="s">
        <v>16</v>
      </c>
      <c r="F77" s="10" t="s">
        <v>170</v>
      </c>
      <c r="G77" s="11">
        <v>27099</v>
      </c>
      <c r="H77" s="10" t="s">
        <v>35</v>
      </c>
      <c r="I77" s="10" t="s">
        <v>19</v>
      </c>
      <c r="J77" s="10" t="s">
        <v>20</v>
      </c>
      <c r="K77" s="10" t="str">
        <f ca="1">DATEDIF('DATA PENDUDUK'!$G77,TODAY(),"Y")&amp; " TAHUN"</f>
        <v>51 TAHUN</v>
      </c>
      <c r="L77" s="12" t="s">
        <v>21</v>
      </c>
    </row>
    <row r="78" spans="1:12" ht="20.100000000000001" customHeight="1" x14ac:dyDescent="0.25">
      <c r="A78" s="8">
        <f t="shared" si="1"/>
        <v>75</v>
      </c>
      <c r="B78" s="9" t="s">
        <v>219</v>
      </c>
      <c r="C78" s="9" t="s">
        <v>222</v>
      </c>
      <c r="D78" s="10" t="s">
        <v>223</v>
      </c>
      <c r="E78" s="10" t="s">
        <v>24</v>
      </c>
      <c r="F78" s="10" t="s">
        <v>87</v>
      </c>
      <c r="G78" s="11">
        <v>28615</v>
      </c>
      <c r="H78" s="10" t="s">
        <v>35</v>
      </c>
      <c r="I78" s="10" t="s">
        <v>19</v>
      </c>
      <c r="J78" s="10" t="s">
        <v>27</v>
      </c>
      <c r="K78" s="10" t="str">
        <f ca="1">DATEDIF('DATA PENDUDUK'!$G78,TODAY(),"Y")&amp; " TAHUN"</f>
        <v>47 TAHUN</v>
      </c>
      <c r="L78" s="12" t="s">
        <v>21</v>
      </c>
    </row>
    <row r="79" spans="1:12" ht="20.100000000000001" customHeight="1" x14ac:dyDescent="0.25">
      <c r="A79" s="8">
        <f t="shared" si="1"/>
        <v>76</v>
      </c>
      <c r="B79" s="9" t="s">
        <v>219</v>
      </c>
      <c r="C79" s="9" t="s">
        <v>224</v>
      </c>
      <c r="D79" s="10" t="s">
        <v>225</v>
      </c>
      <c r="E79" s="10" t="s">
        <v>24</v>
      </c>
      <c r="F79" s="10" t="s">
        <v>87</v>
      </c>
      <c r="G79" s="11">
        <v>35859</v>
      </c>
      <c r="H79" s="10" t="s">
        <v>35</v>
      </c>
      <c r="I79" s="10" t="s">
        <v>40</v>
      </c>
      <c r="J79" s="10" t="s">
        <v>32</v>
      </c>
      <c r="K79" s="10" t="str">
        <f ca="1">DATEDIF('DATA PENDUDUK'!$G79,TODAY(),"Y")&amp; " TAHUN"</f>
        <v>27 TAHUN</v>
      </c>
      <c r="L79" s="12" t="s">
        <v>21</v>
      </c>
    </row>
    <row r="80" spans="1:12" ht="20.100000000000001" customHeight="1" x14ac:dyDescent="0.25">
      <c r="A80" s="8">
        <f t="shared" si="1"/>
        <v>77</v>
      </c>
      <c r="B80" s="9" t="s">
        <v>219</v>
      </c>
      <c r="C80" s="9" t="s">
        <v>226</v>
      </c>
      <c r="D80" s="10" t="s">
        <v>227</v>
      </c>
      <c r="E80" s="10" t="s">
        <v>16</v>
      </c>
      <c r="F80" s="10" t="s">
        <v>87</v>
      </c>
      <c r="G80" s="11">
        <v>39043</v>
      </c>
      <c r="H80" s="10" t="s">
        <v>35</v>
      </c>
      <c r="I80" s="10" t="s">
        <v>31</v>
      </c>
      <c r="J80" s="10" t="s">
        <v>32</v>
      </c>
      <c r="K80" s="10" t="str">
        <f ca="1">DATEDIF('DATA PENDUDUK'!$G80,TODAY(),"Y")&amp; " TAHUN"</f>
        <v>18 TAHUN</v>
      </c>
      <c r="L80" s="12" t="s">
        <v>21</v>
      </c>
    </row>
    <row r="81" spans="1:12" ht="20.100000000000001" customHeight="1" x14ac:dyDescent="0.25">
      <c r="A81" s="8">
        <f t="shared" si="1"/>
        <v>78</v>
      </c>
      <c r="B81" s="9" t="s">
        <v>219</v>
      </c>
      <c r="C81" s="9" t="s">
        <v>228</v>
      </c>
      <c r="D81" s="10" t="s">
        <v>229</v>
      </c>
      <c r="E81" s="10" t="s">
        <v>24</v>
      </c>
      <c r="F81" s="10" t="s">
        <v>30</v>
      </c>
      <c r="G81" s="11">
        <v>42715</v>
      </c>
      <c r="H81" s="10" t="s">
        <v>35</v>
      </c>
      <c r="I81" s="10" t="s">
        <v>31</v>
      </c>
      <c r="J81" s="10" t="s">
        <v>32</v>
      </c>
      <c r="K81" s="10" t="str">
        <f ca="1">DATEDIF('DATA PENDUDUK'!$G81,TODAY(),"Y")&amp; " TAHUN"</f>
        <v>8 TAHUN</v>
      </c>
      <c r="L81" s="12" t="s">
        <v>21</v>
      </c>
    </row>
    <row r="82" spans="1:12" ht="20.100000000000001" customHeight="1" x14ac:dyDescent="0.25">
      <c r="A82" s="8">
        <f t="shared" si="1"/>
        <v>79</v>
      </c>
      <c r="B82" s="9" t="s">
        <v>219</v>
      </c>
      <c r="C82" s="9" t="s">
        <v>230</v>
      </c>
      <c r="D82" s="10" t="s">
        <v>231</v>
      </c>
      <c r="E82" s="10" t="s">
        <v>16</v>
      </c>
      <c r="F82" s="10" t="s">
        <v>30</v>
      </c>
      <c r="G82" s="11">
        <v>44417</v>
      </c>
      <c r="H82" s="10" t="s">
        <v>35</v>
      </c>
      <c r="I82" s="10" t="s">
        <v>40</v>
      </c>
      <c r="J82" s="10" t="s">
        <v>32</v>
      </c>
      <c r="K82" s="10" t="str">
        <f ca="1">DATEDIF('DATA PENDUDUK'!$G82,TODAY(),"Y")&amp; " TAHUN"</f>
        <v>3 TAHUN</v>
      </c>
      <c r="L82" s="12" t="s">
        <v>21</v>
      </c>
    </row>
    <row r="83" spans="1:12" ht="20.100000000000001" customHeight="1" x14ac:dyDescent="0.25">
      <c r="A83" s="8">
        <f t="shared" si="1"/>
        <v>80</v>
      </c>
      <c r="B83" s="9" t="s">
        <v>232</v>
      </c>
      <c r="C83" s="9" t="s">
        <v>233</v>
      </c>
      <c r="D83" s="10" t="s">
        <v>234</v>
      </c>
      <c r="E83" s="10" t="s">
        <v>24</v>
      </c>
      <c r="F83" s="10" t="s">
        <v>30</v>
      </c>
      <c r="G83" s="11">
        <v>37102</v>
      </c>
      <c r="H83" s="10" t="s">
        <v>35</v>
      </c>
      <c r="I83" s="10" t="s">
        <v>40</v>
      </c>
      <c r="J83" s="10" t="s">
        <v>20</v>
      </c>
      <c r="K83" s="10" t="str">
        <f ca="1">DATEDIF('DATA PENDUDUK'!$G83,TODAY(),"Y")&amp; " TAHUN"</f>
        <v>23 TAHUN</v>
      </c>
      <c r="L83" s="12" t="s">
        <v>21</v>
      </c>
    </row>
    <row r="84" spans="1:12" ht="20.100000000000001" customHeight="1" x14ac:dyDescent="0.25">
      <c r="A84" s="8">
        <f t="shared" si="1"/>
        <v>81</v>
      </c>
      <c r="B84" s="9" t="s">
        <v>235</v>
      </c>
      <c r="C84" s="9" t="s">
        <v>236</v>
      </c>
      <c r="D84" s="10" t="s">
        <v>237</v>
      </c>
      <c r="E84" s="10" t="s">
        <v>16</v>
      </c>
      <c r="F84" s="10" t="s">
        <v>238</v>
      </c>
      <c r="G84" s="11">
        <v>28955</v>
      </c>
      <c r="H84" s="10" t="s">
        <v>35</v>
      </c>
      <c r="I84" s="10" t="s">
        <v>19</v>
      </c>
      <c r="J84" s="10" t="s">
        <v>20</v>
      </c>
      <c r="K84" s="10" t="str">
        <f ca="1">DATEDIF('DATA PENDUDUK'!$G84,TODAY(),"Y")&amp; " TAHUN"</f>
        <v>46 TAHUN</v>
      </c>
      <c r="L84" s="12" t="s">
        <v>21</v>
      </c>
    </row>
    <row r="85" spans="1:12" ht="20.100000000000001" customHeight="1" x14ac:dyDescent="0.25">
      <c r="A85" s="8">
        <f t="shared" si="1"/>
        <v>82</v>
      </c>
      <c r="B85" s="9" t="s">
        <v>235</v>
      </c>
      <c r="C85" s="9" t="s">
        <v>239</v>
      </c>
      <c r="D85" s="10" t="s">
        <v>240</v>
      </c>
      <c r="E85" s="10" t="s">
        <v>24</v>
      </c>
      <c r="F85" s="10" t="s">
        <v>46</v>
      </c>
      <c r="G85" s="11">
        <v>30378</v>
      </c>
      <c r="H85" s="10" t="s">
        <v>35</v>
      </c>
      <c r="I85" s="10" t="s">
        <v>19</v>
      </c>
      <c r="J85" s="10" t="s">
        <v>27</v>
      </c>
      <c r="K85" s="10" t="str">
        <f ca="1">DATEDIF('DATA PENDUDUK'!$G85,TODAY(),"Y")&amp; " TAHUN"</f>
        <v>42 TAHUN</v>
      </c>
      <c r="L85" s="12" t="s">
        <v>21</v>
      </c>
    </row>
    <row r="86" spans="1:12" ht="20.100000000000001" customHeight="1" x14ac:dyDescent="0.25">
      <c r="A86" s="8">
        <f t="shared" si="1"/>
        <v>83</v>
      </c>
      <c r="B86" s="9" t="s">
        <v>235</v>
      </c>
      <c r="C86" s="9" t="s">
        <v>241</v>
      </c>
      <c r="D86" s="10" t="s">
        <v>242</v>
      </c>
      <c r="E86" s="10" t="s">
        <v>16</v>
      </c>
      <c r="F86" s="10" t="s">
        <v>30</v>
      </c>
      <c r="G86" s="11">
        <v>38426</v>
      </c>
      <c r="H86" s="10" t="s">
        <v>35</v>
      </c>
      <c r="I86" s="10" t="s">
        <v>40</v>
      </c>
      <c r="J86" s="10" t="s">
        <v>32</v>
      </c>
      <c r="K86" s="10" t="str">
        <f ca="1">DATEDIF('DATA PENDUDUK'!$G86,TODAY(),"Y")&amp; " TAHUN"</f>
        <v>20 TAHUN</v>
      </c>
      <c r="L86" s="12" t="s">
        <v>21</v>
      </c>
    </row>
    <row r="87" spans="1:12" ht="20.100000000000001" customHeight="1" x14ac:dyDescent="0.25">
      <c r="A87" s="8">
        <f t="shared" si="1"/>
        <v>84</v>
      </c>
      <c r="B87" s="9" t="s">
        <v>235</v>
      </c>
      <c r="C87" s="9" t="s">
        <v>243</v>
      </c>
      <c r="D87" s="10" t="s">
        <v>244</v>
      </c>
      <c r="E87" s="10" t="s">
        <v>24</v>
      </c>
      <c r="F87" s="10" t="s">
        <v>30</v>
      </c>
      <c r="G87" s="11">
        <v>43011</v>
      </c>
      <c r="H87" s="10" t="s">
        <v>35</v>
      </c>
      <c r="I87" s="10" t="s">
        <v>40</v>
      </c>
      <c r="J87" s="10" t="s">
        <v>32</v>
      </c>
      <c r="K87" s="10" t="str">
        <f ca="1">DATEDIF('DATA PENDUDUK'!$G87,TODAY(),"Y")&amp; " TAHUN"</f>
        <v>7 TAHUN</v>
      </c>
      <c r="L87" s="12" t="s">
        <v>21</v>
      </c>
    </row>
    <row r="88" spans="1:12" ht="20.100000000000001" customHeight="1" x14ac:dyDescent="0.25">
      <c r="A88" s="8">
        <f t="shared" si="1"/>
        <v>85</v>
      </c>
      <c r="B88" s="9" t="s">
        <v>245</v>
      </c>
      <c r="C88" s="9" t="s">
        <v>246</v>
      </c>
      <c r="D88" s="10" t="s">
        <v>247</v>
      </c>
      <c r="E88" s="10" t="s">
        <v>16</v>
      </c>
      <c r="F88" s="10" t="s">
        <v>195</v>
      </c>
      <c r="G88" s="11">
        <v>30865</v>
      </c>
      <c r="H88" s="10" t="s">
        <v>35</v>
      </c>
      <c r="I88" s="10" t="s">
        <v>19</v>
      </c>
      <c r="J88" s="10" t="s">
        <v>20</v>
      </c>
      <c r="K88" s="10" t="str">
        <f ca="1">DATEDIF('DATA PENDUDUK'!$G88,TODAY(),"Y")&amp; " TAHUN"</f>
        <v>41 TAHUN</v>
      </c>
      <c r="L88" s="12" t="s">
        <v>21</v>
      </c>
    </row>
    <row r="89" spans="1:12" ht="20.100000000000001" customHeight="1" x14ac:dyDescent="0.25">
      <c r="A89" s="8">
        <f t="shared" si="1"/>
        <v>86</v>
      </c>
      <c r="B89" s="9" t="s">
        <v>245</v>
      </c>
      <c r="C89" s="9" t="s">
        <v>248</v>
      </c>
      <c r="D89" s="10" t="s">
        <v>249</v>
      </c>
      <c r="E89" s="10" t="s">
        <v>24</v>
      </c>
      <c r="F89" s="10" t="s">
        <v>46</v>
      </c>
      <c r="G89" s="11">
        <v>24329</v>
      </c>
      <c r="H89" s="10" t="s">
        <v>35</v>
      </c>
      <c r="I89" s="10" t="s">
        <v>19</v>
      </c>
      <c r="J89" s="10" t="s">
        <v>27</v>
      </c>
      <c r="K89" s="10" t="str">
        <f ca="1">DATEDIF('DATA PENDUDUK'!$G89,TODAY(),"Y")&amp; " TAHUN"</f>
        <v>58 TAHUN</v>
      </c>
      <c r="L89" s="12" t="s">
        <v>21</v>
      </c>
    </row>
    <row r="90" spans="1:12" ht="20.100000000000001" customHeight="1" x14ac:dyDescent="0.25">
      <c r="A90" s="8">
        <f t="shared" si="1"/>
        <v>87</v>
      </c>
      <c r="B90" s="9" t="s">
        <v>245</v>
      </c>
      <c r="C90" s="9" t="s">
        <v>250</v>
      </c>
      <c r="D90" s="10" t="s">
        <v>251</v>
      </c>
      <c r="E90" s="10" t="s">
        <v>16</v>
      </c>
      <c r="F90" s="10" t="s">
        <v>110</v>
      </c>
      <c r="G90" s="11">
        <v>31556</v>
      </c>
      <c r="H90" s="10" t="s">
        <v>35</v>
      </c>
      <c r="I90" s="10" t="s">
        <v>40</v>
      </c>
      <c r="J90" s="10" t="s">
        <v>32</v>
      </c>
      <c r="K90" s="10" t="str">
        <f ca="1">DATEDIF('DATA PENDUDUK'!$G90,TODAY(),"Y")&amp; " TAHUN"</f>
        <v>39 TAHUN</v>
      </c>
      <c r="L90" s="12" t="s">
        <v>21</v>
      </c>
    </row>
    <row r="91" spans="1:12" ht="20.100000000000001" customHeight="1" x14ac:dyDescent="0.25">
      <c r="A91" s="8">
        <f t="shared" si="1"/>
        <v>88</v>
      </c>
      <c r="B91" s="9" t="s">
        <v>245</v>
      </c>
      <c r="C91" s="9" t="s">
        <v>252</v>
      </c>
      <c r="D91" s="10" t="s">
        <v>253</v>
      </c>
      <c r="E91" s="10" t="s">
        <v>24</v>
      </c>
      <c r="F91" s="10" t="s">
        <v>79</v>
      </c>
      <c r="G91" s="11">
        <v>32123</v>
      </c>
      <c r="H91" s="10" t="s">
        <v>35</v>
      </c>
      <c r="I91" s="10" t="s">
        <v>40</v>
      </c>
      <c r="J91" s="10" t="s">
        <v>32</v>
      </c>
      <c r="K91" s="10" t="str">
        <f ca="1">DATEDIF('DATA PENDUDUK'!$G91,TODAY(),"Y")&amp; " TAHUN"</f>
        <v>37 TAHUN</v>
      </c>
      <c r="L91" s="12" t="s">
        <v>21</v>
      </c>
    </row>
    <row r="92" spans="1:12" ht="20.100000000000001" customHeight="1" x14ac:dyDescent="0.25">
      <c r="A92" s="8">
        <f t="shared" si="1"/>
        <v>89</v>
      </c>
      <c r="B92" s="9" t="s">
        <v>245</v>
      </c>
      <c r="C92" s="9" t="s">
        <v>254</v>
      </c>
      <c r="D92" s="10" t="s">
        <v>255</v>
      </c>
      <c r="E92" s="10" t="s">
        <v>16</v>
      </c>
      <c r="F92" s="10" t="s">
        <v>256</v>
      </c>
      <c r="G92" s="11">
        <v>34810</v>
      </c>
      <c r="H92" s="10" t="s">
        <v>35</v>
      </c>
      <c r="I92" s="10" t="s">
        <v>40</v>
      </c>
      <c r="J92" s="10" t="s">
        <v>32</v>
      </c>
      <c r="K92" s="10" t="str">
        <f ca="1">DATEDIF('DATA PENDUDUK'!$G92,TODAY(),"Y")&amp; " TAHUN"</f>
        <v>30 TAHUN</v>
      </c>
      <c r="L92" s="12" t="s">
        <v>21</v>
      </c>
    </row>
    <row r="93" spans="1:12" ht="20.100000000000001" customHeight="1" x14ac:dyDescent="0.25">
      <c r="A93" s="8">
        <f t="shared" si="1"/>
        <v>90</v>
      </c>
      <c r="B93" s="9" t="s">
        <v>245</v>
      </c>
      <c r="C93" s="9" t="s">
        <v>257</v>
      </c>
      <c r="D93" s="10" t="s">
        <v>258</v>
      </c>
      <c r="E93" s="10" t="s">
        <v>16</v>
      </c>
      <c r="F93" s="10" t="s">
        <v>30</v>
      </c>
      <c r="G93" s="11">
        <v>39224</v>
      </c>
      <c r="H93" s="10" t="s">
        <v>35</v>
      </c>
      <c r="I93" s="10" t="s">
        <v>31</v>
      </c>
      <c r="J93" s="10" t="s">
        <v>32</v>
      </c>
      <c r="K93" s="10" t="str">
        <f ca="1">DATEDIF('DATA PENDUDUK'!$G93,TODAY(),"Y")&amp; " TAHUN"</f>
        <v>18 TAHUN</v>
      </c>
      <c r="L93" s="12" t="s">
        <v>21</v>
      </c>
    </row>
    <row r="94" spans="1:12" ht="20.100000000000001" customHeight="1" x14ac:dyDescent="0.25">
      <c r="A94" s="8">
        <f t="shared" si="1"/>
        <v>91</v>
      </c>
      <c r="B94" s="9" t="s">
        <v>259</v>
      </c>
      <c r="C94" s="9" t="s">
        <v>121</v>
      </c>
      <c r="D94" s="10" t="s">
        <v>122</v>
      </c>
      <c r="E94" s="10" t="s">
        <v>16</v>
      </c>
      <c r="F94" s="10" t="s">
        <v>30</v>
      </c>
      <c r="G94" s="11">
        <v>35268</v>
      </c>
      <c r="H94" s="10" t="s">
        <v>35</v>
      </c>
      <c r="I94" s="10" t="s">
        <v>40</v>
      </c>
      <c r="J94" s="10" t="s">
        <v>20</v>
      </c>
      <c r="K94" s="10" t="str">
        <f ca="1">DATEDIF('DATA PENDUDUK'!$G94,TODAY(),"Y")&amp; " TAHUN"</f>
        <v>29 TAHUN</v>
      </c>
      <c r="L94" s="12" t="s">
        <v>21</v>
      </c>
    </row>
    <row r="95" spans="1:12" ht="20.100000000000001" customHeight="1" x14ac:dyDescent="0.25">
      <c r="A95" s="8">
        <f t="shared" si="1"/>
        <v>92</v>
      </c>
      <c r="B95" s="9" t="s">
        <v>259</v>
      </c>
      <c r="C95" s="9" t="s">
        <v>260</v>
      </c>
      <c r="D95" s="10" t="s">
        <v>261</v>
      </c>
      <c r="E95" s="10" t="s">
        <v>24</v>
      </c>
      <c r="F95" s="10" t="s">
        <v>262</v>
      </c>
      <c r="G95" s="11">
        <v>36102</v>
      </c>
      <c r="H95" s="10" t="s">
        <v>35</v>
      </c>
      <c r="I95" s="10" t="s">
        <v>40</v>
      </c>
      <c r="J95" s="10" t="s">
        <v>37</v>
      </c>
      <c r="K95" s="10" t="str">
        <f ca="1">DATEDIF('DATA PENDUDUK'!$G95,TODAY(),"Y")&amp; " TAHUN"</f>
        <v>26 TAHUN</v>
      </c>
      <c r="L95" s="12" t="s">
        <v>21</v>
      </c>
    </row>
    <row r="96" spans="1:12" ht="20.100000000000001" customHeight="1" x14ac:dyDescent="0.25">
      <c r="A96" s="8">
        <f t="shared" si="1"/>
        <v>93</v>
      </c>
      <c r="B96" s="9" t="s">
        <v>263</v>
      </c>
      <c r="C96" s="9" t="s">
        <v>264</v>
      </c>
      <c r="D96" s="10" t="s">
        <v>265</v>
      </c>
      <c r="E96" s="10" t="s">
        <v>16</v>
      </c>
      <c r="F96" s="10" t="s">
        <v>46</v>
      </c>
      <c r="G96" s="11">
        <v>29209</v>
      </c>
      <c r="H96" s="10" t="s">
        <v>35</v>
      </c>
      <c r="I96" s="10" t="s">
        <v>19</v>
      </c>
      <c r="J96" s="10" t="s">
        <v>20</v>
      </c>
      <c r="K96" s="10" t="str">
        <f ca="1">DATEDIF('DATA PENDUDUK'!$G96,TODAY(),"Y")&amp; " TAHUN"</f>
        <v>45 TAHUN</v>
      </c>
      <c r="L96" s="12" t="s">
        <v>21</v>
      </c>
    </row>
    <row r="97" spans="1:12" ht="20.100000000000001" customHeight="1" x14ac:dyDescent="0.25">
      <c r="A97" s="8">
        <f t="shared" si="1"/>
        <v>94</v>
      </c>
      <c r="B97" s="9" t="s">
        <v>263</v>
      </c>
      <c r="C97" s="9" t="s">
        <v>266</v>
      </c>
      <c r="D97" s="10" t="s">
        <v>267</v>
      </c>
      <c r="E97" s="10" t="s">
        <v>24</v>
      </c>
      <c r="F97" s="10" t="s">
        <v>268</v>
      </c>
      <c r="G97" s="11">
        <v>32354</v>
      </c>
      <c r="H97" s="10" t="s">
        <v>35</v>
      </c>
      <c r="I97" s="10" t="s">
        <v>40</v>
      </c>
      <c r="J97" s="10" t="s">
        <v>27</v>
      </c>
      <c r="K97" s="10" t="str">
        <f ca="1">DATEDIF('DATA PENDUDUK'!$G97,TODAY(),"Y")&amp; " TAHUN"</f>
        <v>36 TAHUN</v>
      </c>
      <c r="L97" s="12" t="s">
        <v>21</v>
      </c>
    </row>
    <row r="98" spans="1:12" ht="20.100000000000001" customHeight="1" x14ac:dyDescent="0.25">
      <c r="A98" s="8">
        <f t="shared" si="1"/>
        <v>95</v>
      </c>
      <c r="B98" s="9" t="s">
        <v>263</v>
      </c>
      <c r="C98" s="9" t="s">
        <v>269</v>
      </c>
      <c r="D98" s="10" t="s">
        <v>270</v>
      </c>
      <c r="E98" s="10" t="s">
        <v>16</v>
      </c>
      <c r="F98" s="10" t="s">
        <v>271</v>
      </c>
      <c r="G98" s="11">
        <v>28126</v>
      </c>
      <c r="H98" s="10" t="s">
        <v>35</v>
      </c>
      <c r="I98" s="10" t="s">
        <v>19</v>
      </c>
      <c r="J98" s="10" t="s">
        <v>37</v>
      </c>
      <c r="K98" s="10" t="str">
        <f ca="1">DATEDIF('DATA PENDUDUK'!$G98,TODAY(),"Y")&amp; " TAHUN"</f>
        <v>48 TAHUN</v>
      </c>
      <c r="L98" s="12" t="s">
        <v>21</v>
      </c>
    </row>
    <row r="99" spans="1:12" ht="20.100000000000001" customHeight="1" x14ac:dyDescent="0.25">
      <c r="A99" s="8">
        <f t="shared" si="1"/>
        <v>96</v>
      </c>
      <c r="B99" s="9" t="s">
        <v>272</v>
      </c>
      <c r="C99" s="9" t="s">
        <v>273</v>
      </c>
      <c r="D99" s="10" t="s">
        <v>251</v>
      </c>
      <c r="E99" s="10" t="s">
        <v>16</v>
      </c>
      <c r="F99" s="10" t="s">
        <v>46</v>
      </c>
      <c r="G99" s="11">
        <v>26507</v>
      </c>
      <c r="H99" s="10" t="s">
        <v>35</v>
      </c>
      <c r="I99" s="10" t="s">
        <v>19</v>
      </c>
      <c r="J99" s="10" t="s">
        <v>20</v>
      </c>
      <c r="K99" s="10" t="str">
        <f ca="1">DATEDIF('DATA PENDUDUK'!$G99,TODAY(),"Y")&amp; " TAHUN"</f>
        <v>52 TAHUN</v>
      </c>
      <c r="L99" s="12" t="s">
        <v>21</v>
      </c>
    </row>
    <row r="100" spans="1:12" ht="20.100000000000001" customHeight="1" x14ac:dyDescent="0.25">
      <c r="A100" s="8">
        <f t="shared" si="1"/>
        <v>97</v>
      </c>
      <c r="B100" s="9" t="s">
        <v>272</v>
      </c>
      <c r="C100" s="9" t="s">
        <v>274</v>
      </c>
      <c r="D100" s="10" t="s">
        <v>275</v>
      </c>
      <c r="E100" s="10" t="s">
        <v>24</v>
      </c>
      <c r="F100" s="10" t="s">
        <v>68</v>
      </c>
      <c r="G100" s="11">
        <v>29482</v>
      </c>
      <c r="H100" s="10" t="s">
        <v>35</v>
      </c>
      <c r="I100" s="10" t="s">
        <v>19</v>
      </c>
      <c r="J100" s="10" t="s">
        <v>27</v>
      </c>
      <c r="K100" s="10" t="str">
        <f ca="1">DATEDIF('DATA PENDUDUK'!$G100,TODAY(),"Y")&amp; " TAHUN"</f>
        <v>44 TAHUN</v>
      </c>
      <c r="L100" s="12" t="s">
        <v>21</v>
      </c>
    </row>
    <row r="101" spans="1:12" ht="20.100000000000001" customHeight="1" x14ac:dyDescent="0.25">
      <c r="A101" s="8">
        <f t="shared" si="1"/>
        <v>98</v>
      </c>
      <c r="B101" s="9" t="s">
        <v>272</v>
      </c>
      <c r="C101" s="9" t="s">
        <v>276</v>
      </c>
      <c r="D101" s="10" t="s">
        <v>277</v>
      </c>
      <c r="E101" s="10" t="s">
        <v>16</v>
      </c>
      <c r="F101" s="10" t="s">
        <v>68</v>
      </c>
      <c r="G101" s="11">
        <v>40792</v>
      </c>
      <c r="H101" s="10" t="s">
        <v>35</v>
      </c>
      <c r="I101" s="10" t="s">
        <v>31</v>
      </c>
      <c r="J101" s="10" t="s">
        <v>32</v>
      </c>
      <c r="K101" s="10" t="str">
        <f ca="1">DATEDIF('DATA PENDUDUK'!$G101,TODAY(),"Y")&amp; " TAHUN"</f>
        <v>13 TAHUN</v>
      </c>
      <c r="L101" s="12" t="s">
        <v>21</v>
      </c>
    </row>
    <row r="102" spans="1:12" ht="20.100000000000001" customHeight="1" x14ac:dyDescent="0.25">
      <c r="A102" s="8">
        <f t="shared" si="1"/>
        <v>99</v>
      </c>
      <c r="B102" s="9" t="s">
        <v>278</v>
      </c>
      <c r="C102" s="9" t="s">
        <v>279</v>
      </c>
      <c r="D102" s="10" t="s">
        <v>280</v>
      </c>
      <c r="E102" s="10" t="s">
        <v>16</v>
      </c>
      <c r="F102" s="10" t="s">
        <v>281</v>
      </c>
      <c r="G102" s="11">
        <v>36809</v>
      </c>
      <c r="H102" s="10" t="s">
        <v>35</v>
      </c>
      <c r="I102" s="10" t="s">
        <v>31</v>
      </c>
      <c r="J102" s="10" t="s">
        <v>20</v>
      </c>
      <c r="K102" s="10" t="str">
        <f ca="1">DATEDIF('DATA PENDUDUK'!$G102,TODAY(),"Y")&amp; " TAHUN"</f>
        <v>24 TAHUN</v>
      </c>
      <c r="L102" s="12" t="s">
        <v>21</v>
      </c>
    </row>
    <row r="103" spans="1:12" ht="20.100000000000001" customHeight="1" x14ac:dyDescent="0.25">
      <c r="A103" s="8">
        <f t="shared" si="1"/>
        <v>100</v>
      </c>
      <c r="B103" s="9" t="s">
        <v>278</v>
      </c>
      <c r="C103" s="9" t="s">
        <v>282</v>
      </c>
      <c r="D103" s="10" t="s">
        <v>283</v>
      </c>
      <c r="E103" s="10" t="s">
        <v>16</v>
      </c>
      <c r="F103" s="10" t="s">
        <v>281</v>
      </c>
      <c r="G103" s="11">
        <v>36809</v>
      </c>
      <c r="H103" s="10" t="s">
        <v>35</v>
      </c>
      <c r="I103" s="10" t="s">
        <v>31</v>
      </c>
      <c r="J103" s="10" t="s">
        <v>37</v>
      </c>
      <c r="K103" s="10" t="str">
        <f ca="1">DATEDIF('DATA PENDUDUK'!$G103,TODAY(),"Y")&amp; " TAHUN"</f>
        <v>24 TAHUN</v>
      </c>
      <c r="L103" s="12" t="s">
        <v>21</v>
      </c>
    </row>
    <row r="104" spans="1:12" ht="20.100000000000001" customHeight="1" x14ac:dyDescent="0.25">
      <c r="A104" s="8">
        <f t="shared" si="1"/>
        <v>101</v>
      </c>
      <c r="B104" s="9" t="s">
        <v>284</v>
      </c>
      <c r="C104" s="9" t="s">
        <v>285</v>
      </c>
      <c r="D104" s="10" t="s">
        <v>286</v>
      </c>
      <c r="E104" s="10" t="s">
        <v>16</v>
      </c>
      <c r="F104" s="10" t="s">
        <v>195</v>
      </c>
      <c r="G104" s="11">
        <v>23816</v>
      </c>
      <c r="H104" s="10" t="s">
        <v>35</v>
      </c>
      <c r="I104" s="10" t="s">
        <v>19</v>
      </c>
      <c r="J104" s="10" t="s">
        <v>20</v>
      </c>
      <c r="K104" s="10" t="str">
        <f ca="1">DATEDIF('DATA PENDUDUK'!$G104,TODAY(),"Y")&amp; " TAHUN"</f>
        <v>60 TAHUN</v>
      </c>
      <c r="L104" s="12" t="s">
        <v>21</v>
      </c>
    </row>
    <row r="105" spans="1:12" ht="20.100000000000001" customHeight="1" x14ac:dyDescent="0.25">
      <c r="A105" s="8">
        <f t="shared" si="1"/>
        <v>102</v>
      </c>
      <c r="B105" s="9" t="s">
        <v>287</v>
      </c>
      <c r="C105" s="9" t="s">
        <v>288</v>
      </c>
      <c r="D105" s="10" t="s">
        <v>289</v>
      </c>
      <c r="E105" s="10" t="s">
        <v>24</v>
      </c>
      <c r="F105" s="10" t="s">
        <v>290</v>
      </c>
      <c r="G105" s="11">
        <v>29619</v>
      </c>
      <c r="H105" s="10" t="s">
        <v>35</v>
      </c>
      <c r="I105" s="10" t="s">
        <v>19</v>
      </c>
      <c r="J105" s="10" t="s">
        <v>20</v>
      </c>
      <c r="K105" s="10" t="str">
        <f ca="1">DATEDIF('DATA PENDUDUK'!$G105,TODAY(),"Y")&amp; " TAHUN"</f>
        <v>44 TAHUN</v>
      </c>
      <c r="L105" s="12" t="s">
        <v>21</v>
      </c>
    </row>
    <row r="106" spans="1:12" ht="20.100000000000001" customHeight="1" x14ac:dyDescent="0.25">
      <c r="A106" s="8">
        <f t="shared" si="1"/>
        <v>103</v>
      </c>
      <c r="B106" s="9" t="s">
        <v>287</v>
      </c>
      <c r="C106" s="9" t="s">
        <v>291</v>
      </c>
      <c r="D106" s="10" t="s">
        <v>292</v>
      </c>
      <c r="E106" s="10" t="s">
        <v>16</v>
      </c>
      <c r="F106" s="10" t="s">
        <v>30</v>
      </c>
      <c r="G106" s="11">
        <v>42835</v>
      </c>
      <c r="H106" s="10" t="s">
        <v>35</v>
      </c>
      <c r="I106" s="10" t="s">
        <v>31</v>
      </c>
      <c r="J106" s="10" t="s">
        <v>32</v>
      </c>
      <c r="K106" s="10" t="str">
        <f ca="1">DATEDIF('DATA PENDUDUK'!$G106,TODAY(),"Y")&amp; " TAHUN"</f>
        <v>8 TAHUN</v>
      </c>
      <c r="L106" s="12" t="s">
        <v>21</v>
      </c>
    </row>
    <row r="107" spans="1:12" ht="20.100000000000001" customHeight="1" x14ac:dyDescent="0.25">
      <c r="A107" s="8">
        <f t="shared" si="1"/>
        <v>104</v>
      </c>
      <c r="B107" s="9" t="s">
        <v>293</v>
      </c>
      <c r="C107" s="9" t="s">
        <v>294</v>
      </c>
      <c r="D107" s="10" t="s">
        <v>295</v>
      </c>
      <c r="E107" s="10" t="s">
        <v>16</v>
      </c>
      <c r="F107" s="10" t="s">
        <v>87</v>
      </c>
      <c r="G107" s="11">
        <v>19937</v>
      </c>
      <c r="H107" s="10" t="s">
        <v>35</v>
      </c>
      <c r="I107" s="10" t="s">
        <v>19</v>
      </c>
      <c r="J107" s="10" t="s">
        <v>20</v>
      </c>
      <c r="K107" s="10" t="str">
        <f ca="1">DATEDIF('DATA PENDUDUK'!$G107,TODAY(),"Y")&amp; " TAHUN"</f>
        <v>70 TAHUN</v>
      </c>
      <c r="L107" s="12" t="s">
        <v>21</v>
      </c>
    </row>
    <row r="108" spans="1:12" ht="20.100000000000001" customHeight="1" x14ac:dyDescent="0.25">
      <c r="A108" s="8">
        <f t="shared" si="1"/>
        <v>105</v>
      </c>
      <c r="B108" s="9" t="s">
        <v>293</v>
      </c>
      <c r="C108" s="9" t="s">
        <v>296</v>
      </c>
      <c r="D108" s="10" t="s">
        <v>297</v>
      </c>
      <c r="E108" s="10" t="s">
        <v>24</v>
      </c>
      <c r="F108" s="10" t="s">
        <v>87</v>
      </c>
      <c r="G108" s="11">
        <v>22370</v>
      </c>
      <c r="H108" s="10" t="s">
        <v>35</v>
      </c>
      <c r="I108" s="10" t="s">
        <v>26</v>
      </c>
      <c r="J108" s="10" t="s">
        <v>27</v>
      </c>
      <c r="K108" s="10" t="str">
        <f ca="1">DATEDIF('DATA PENDUDUK'!$G108,TODAY(),"Y")&amp; " TAHUN"</f>
        <v>64 TAHUN</v>
      </c>
      <c r="L108" s="12" t="s">
        <v>21</v>
      </c>
    </row>
    <row r="109" spans="1:12" ht="20.100000000000001" customHeight="1" x14ac:dyDescent="0.25">
      <c r="A109" s="8">
        <f t="shared" si="1"/>
        <v>106</v>
      </c>
      <c r="B109" s="9" t="s">
        <v>293</v>
      </c>
      <c r="C109" s="9" t="s">
        <v>298</v>
      </c>
      <c r="D109" s="10" t="s">
        <v>299</v>
      </c>
      <c r="E109" s="10" t="s">
        <v>16</v>
      </c>
      <c r="F109" s="10" t="s">
        <v>87</v>
      </c>
      <c r="G109" s="11">
        <v>32265</v>
      </c>
      <c r="H109" s="10" t="s">
        <v>35</v>
      </c>
      <c r="I109" s="10" t="s">
        <v>19</v>
      </c>
      <c r="J109" s="10" t="s">
        <v>32</v>
      </c>
      <c r="K109" s="10" t="str">
        <f ca="1">DATEDIF('DATA PENDUDUK'!$G109,TODAY(),"Y")&amp; " TAHUN"</f>
        <v>37 TAHUN</v>
      </c>
      <c r="L109" s="12" t="s">
        <v>21</v>
      </c>
    </row>
    <row r="110" spans="1:12" ht="20.100000000000001" customHeight="1" x14ac:dyDescent="0.25">
      <c r="A110" s="8">
        <f t="shared" si="1"/>
        <v>107</v>
      </c>
      <c r="B110" s="9" t="s">
        <v>300</v>
      </c>
      <c r="C110" s="9" t="s">
        <v>301</v>
      </c>
      <c r="D110" s="10" t="s">
        <v>302</v>
      </c>
      <c r="E110" s="10" t="s">
        <v>16</v>
      </c>
      <c r="F110" s="10" t="s">
        <v>118</v>
      </c>
      <c r="G110" s="11">
        <v>26269</v>
      </c>
      <c r="H110" s="10" t="s">
        <v>35</v>
      </c>
      <c r="I110" s="10" t="s">
        <v>19</v>
      </c>
      <c r="J110" s="10" t="s">
        <v>20</v>
      </c>
      <c r="K110" s="10" t="str">
        <f ca="1">DATEDIF('DATA PENDUDUK'!$G110,TODAY(),"Y")&amp; " TAHUN"</f>
        <v>53 TAHUN</v>
      </c>
      <c r="L110" s="12" t="s">
        <v>21</v>
      </c>
    </row>
    <row r="111" spans="1:12" ht="20.100000000000001" customHeight="1" x14ac:dyDescent="0.25">
      <c r="A111" s="8">
        <f t="shared" si="1"/>
        <v>108</v>
      </c>
      <c r="B111" s="9" t="s">
        <v>300</v>
      </c>
      <c r="C111" s="9" t="s">
        <v>303</v>
      </c>
      <c r="D111" s="10" t="s">
        <v>304</v>
      </c>
      <c r="E111" s="10" t="s">
        <v>24</v>
      </c>
      <c r="F111" s="10" t="s">
        <v>118</v>
      </c>
      <c r="G111" s="11">
        <v>26714</v>
      </c>
      <c r="H111" s="10" t="s">
        <v>35</v>
      </c>
      <c r="I111" s="10" t="s">
        <v>26</v>
      </c>
      <c r="J111" s="10" t="s">
        <v>27</v>
      </c>
      <c r="K111" s="10" t="str">
        <f ca="1">DATEDIF('DATA PENDUDUK'!$G111,TODAY(),"Y")&amp; " TAHUN"</f>
        <v>52 TAHUN</v>
      </c>
      <c r="L111" s="12" t="s">
        <v>21</v>
      </c>
    </row>
    <row r="112" spans="1:12" ht="20.100000000000001" customHeight="1" x14ac:dyDescent="0.25">
      <c r="A112" s="8">
        <f t="shared" si="1"/>
        <v>109</v>
      </c>
      <c r="B112" s="9" t="s">
        <v>300</v>
      </c>
      <c r="C112" s="9" t="s">
        <v>305</v>
      </c>
      <c r="D112" s="10" t="s">
        <v>306</v>
      </c>
      <c r="E112" s="10" t="s">
        <v>16</v>
      </c>
      <c r="F112" s="10" t="s">
        <v>30</v>
      </c>
      <c r="G112" s="11">
        <v>37055</v>
      </c>
      <c r="H112" s="10" t="s">
        <v>35</v>
      </c>
      <c r="I112" s="10" t="s">
        <v>40</v>
      </c>
      <c r="J112" s="10" t="s">
        <v>32</v>
      </c>
      <c r="K112" s="10" t="str">
        <f ca="1">DATEDIF('DATA PENDUDUK'!$G112,TODAY(),"Y")&amp; " TAHUN"</f>
        <v>24 TAHUN</v>
      </c>
      <c r="L112" s="12" t="s">
        <v>21</v>
      </c>
    </row>
    <row r="113" spans="1:12" ht="20.100000000000001" customHeight="1" x14ac:dyDescent="0.25">
      <c r="A113" s="8">
        <f t="shared" si="1"/>
        <v>110</v>
      </c>
      <c r="B113" s="9" t="s">
        <v>300</v>
      </c>
      <c r="C113" s="9" t="s">
        <v>307</v>
      </c>
      <c r="D113" s="10" t="s">
        <v>308</v>
      </c>
      <c r="E113" s="10" t="s">
        <v>24</v>
      </c>
      <c r="F113" s="10" t="s">
        <v>30</v>
      </c>
      <c r="G113" s="11">
        <v>38604</v>
      </c>
      <c r="H113" s="10" t="s">
        <v>35</v>
      </c>
      <c r="I113" s="10" t="s">
        <v>31</v>
      </c>
      <c r="J113" s="10" t="s">
        <v>32</v>
      </c>
      <c r="K113" s="10" t="str">
        <f ca="1">DATEDIF('DATA PENDUDUK'!$G113,TODAY(),"Y")&amp; " TAHUN"</f>
        <v>19 TAHUN</v>
      </c>
      <c r="L113" s="12" t="s">
        <v>21</v>
      </c>
    </row>
    <row r="114" spans="1:12" ht="20.100000000000001" customHeight="1" x14ac:dyDescent="0.25">
      <c r="A114" s="8">
        <f t="shared" si="1"/>
        <v>111</v>
      </c>
      <c r="B114" s="9" t="s">
        <v>309</v>
      </c>
      <c r="C114" s="9" t="s">
        <v>310</v>
      </c>
      <c r="D114" s="10" t="s">
        <v>311</v>
      </c>
      <c r="E114" s="10" t="s">
        <v>16</v>
      </c>
      <c r="F114" s="10" t="s">
        <v>46</v>
      </c>
      <c r="G114" s="11">
        <v>31821</v>
      </c>
      <c r="H114" s="10" t="s">
        <v>35</v>
      </c>
      <c r="I114" s="10" t="s">
        <v>19</v>
      </c>
      <c r="J114" s="10" t="s">
        <v>20</v>
      </c>
      <c r="K114" s="10" t="str">
        <f ca="1">DATEDIF('DATA PENDUDUK'!$G114,TODAY(),"Y")&amp; " TAHUN"</f>
        <v>38 TAHUN</v>
      </c>
      <c r="L114" s="12" t="s">
        <v>21</v>
      </c>
    </row>
    <row r="115" spans="1:12" ht="20.100000000000001" customHeight="1" x14ac:dyDescent="0.25">
      <c r="A115" s="8">
        <f t="shared" si="1"/>
        <v>112</v>
      </c>
      <c r="B115" s="9" t="s">
        <v>309</v>
      </c>
      <c r="C115" s="9" t="s">
        <v>312</v>
      </c>
      <c r="D115" s="10" t="s">
        <v>313</v>
      </c>
      <c r="E115" s="10" t="s">
        <v>24</v>
      </c>
      <c r="F115" s="10" t="s">
        <v>46</v>
      </c>
      <c r="G115" s="11">
        <v>31787</v>
      </c>
      <c r="H115" s="10" t="s">
        <v>35</v>
      </c>
      <c r="I115" s="10" t="s">
        <v>19</v>
      </c>
      <c r="J115" s="10" t="s">
        <v>27</v>
      </c>
      <c r="K115" s="10" t="str">
        <f ca="1">DATEDIF('DATA PENDUDUK'!$G115,TODAY(),"Y")&amp; " TAHUN"</f>
        <v>38 TAHUN</v>
      </c>
      <c r="L115" s="12" t="s">
        <v>21</v>
      </c>
    </row>
    <row r="116" spans="1:12" ht="20.100000000000001" customHeight="1" x14ac:dyDescent="0.25">
      <c r="A116" s="8">
        <f t="shared" si="1"/>
        <v>113</v>
      </c>
      <c r="B116" s="9" t="s">
        <v>309</v>
      </c>
      <c r="C116" s="9" t="s">
        <v>314</v>
      </c>
      <c r="D116" s="10" t="s">
        <v>315</v>
      </c>
      <c r="E116" s="10" t="s">
        <v>24</v>
      </c>
      <c r="F116" s="10" t="s">
        <v>30</v>
      </c>
      <c r="G116" s="11">
        <v>39866</v>
      </c>
      <c r="H116" s="10" t="s">
        <v>35</v>
      </c>
      <c r="I116" s="10" t="s">
        <v>31</v>
      </c>
      <c r="J116" s="10" t="s">
        <v>32</v>
      </c>
      <c r="K116" s="10" t="str">
        <f ca="1">DATEDIF('DATA PENDUDUK'!$G116,TODAY(),"Y")&amp; " TAHUN"</f>
        <v>16 TAHUN</v>
      </c>
      <c r="L116" s="12" t="s">
        <v>21</v>
      </c>
    </row>
    <row r="117" spans="1:12" ht="20.100000000000001" customHeight="1" x14ac:dyDescent="0.25">
      <c r="A117" s="8">
        <f t="shared" si="1"/>
        <v>114</v>
      </c>
      <c r="B117" s="9" t="s">
        <v>309</v>
      </c>
      <c r="C117" s="9" t="s">
        <v>316</v>
      </c>
      <c r="D117" s="10" t="s">
        <v>317</v>
      </c>
      <c r="E117" s="10" t="s">
        <v>24</v>
      </c>
      <c r="F117" s="10" t="s">
        <v>30</v>
      </c>
      <c r="G117" s="11">
        <v>42687</v>
      </c>
      <c r="H117" s="10" t="s">
        <v>35</v>
      </c>
      <c r="I117" s="10" t="s">
        <v>40</v>
      </c>
      <c r="J117" s="10" t="s">
        <v>32</v>
      </c>
      <c r="K117" s="10" t="str">
        <f ca="1">DATEDIF('DATA PENDUDUK'!$G117,TODAY(),"Y")&amp; " TAHUN"</f>
        <v>8 TAHUN</v>
      </c>
      <c r="L117" s="12" t="s">
        <v>21</v>
      </c>
    </row>
    <row r="118" spans="1:12" ht="20.100000000000001" customHeight="1" x14ac:dyDescent="0.25">
      <c r="A118" s="8">
        <f t="shared" si="1"/>
        <v>115</v>
      </c>
      <c r="B118" s="9" t="s">
        <v>318</v>
      </c>
      <c r="C118" s="9" t="s">
        <v>319</v>
      </c>
      <c r="D118" s="10" t="s">
        <v>320</v>
      </c>
      <c r="E118" s="10" t="s">
        <v>16</v>
      </c>
      <c r="F118" s="10" t="s">
        <v>143</v>
      </c>
      <c r="G118" s="11">
        <v>28568</v>
      </c>
      <c r="H118" s="10" t="s">
        <v>35</v>
      </c>
      <c r="I118" s="10" t="s">
        <v>19</v>
      </c>
      <c r="J118" s="10" t="s">
        <v>20</v>
      </c>
      <c r="K118" s="10" t="str">
        <f ca="1">DATEDIF('DATA PENDUDUK'!$G118,TODAY(),"Y")&amp; " TAHUN"</f>
        <v>47 TAHUN</v>
      </c>
      <c r="L118" s="12" t="s">
        <v>21</v>
      </c>
    </row>
    <row r="119" spans="1:12" ht="20.100000000000001" customHeight="1" x14ac:dyDescent="0.25">
      <c r="A119" s="8">
        <f t="shared" si="1"/>
        <v>116</v>
      </c>
      <c r="B119" s="9" t="s">
        <v>318</v>
      </c>
      <c r="C119" s="9" t="s">
        <v>321</v>
      </c>
      <c r="D119" s="10" t="s">
        <v>322</v>
      </c>
      <c r="E119" s="10" t="s">
        <v>24</v>
      </c>
      <c r="F119" s="10" t="s">
        <v>323</v>
      </c>
      <c r="G119" s="11">
        <v>33299</v>
      </c>
      <c r="H119" s="10" t="s">
        <v>35</v>
      </c>
      <c r="I119" s="10" t="s">
        <v>26</v>
      </c>
      <c r="J119" s="10" t="s">
        <v>27</v>
      </c>
      <c r="K119" s="10" t="str">
        <f ca="1">DATEDIF('DATA PENDUDUK'!$G119,TODAY(),"Y")&amp; " TAHUN"</f>
        <v>34 TAHUN</v>
      </c>
      <c r="L119" s="12" t="s">
        <v>21</v>
      </c>
    </row>
    <row r="120" spans="1:12" ht="20.100000000000001" customHeight="1" x14ac:dyDescent="0.25">
      <c r="A120" s="8">
        <f t="shared" si="1"/>
        <v>117</v>
      </c>
      <c r="B120" s="9" t="s">
        <v>318</v>
      </c>
      <c r="C120" s="9" t="s">
        <v>324</v>
      </c>
      <c r="D120" s="10" t="s">
        <v>124</v>
      </c>
      <c r="E120" s="10" t="s">
        <v>16</v>
      </c>
      <c r="F120" s="10" t="s">
        <v>143</v>
      </c>
      <c r="G120" s="11">
        <v>39896</v>
      </c>
      <c r="H120" s="10" t="s">
        <v>35</v>
      </c>
      <c r="I120" s="10" t="s">
        <v>31</v>
      </c>
      <c r="J120" s="10" t="s">
        <v>32</v>
      </c>
      <c r="K120" s="10" t="str">
        <f ca="1">DATEDIF('DATA PENDUDUK'!$G120,TODAY(),"Y")&amp; " TAHUN"</f>
        <v>16 TAHUN</v>
      </c>
      <c r="L120" s="12" t="s">
        <v>21</v>
      </c>
    </row>
    <row r="121" spans="1:12" ht="20.100000000000001" customHeight="1" x14ac:dyDescent="0.25">
      <c r="A121" s="8">
        <f t="shared" si="1"/>
        <v>118</v>
      </c>
      <c r="B121" s="9" t="s">
        <v>318</v>
      </c>
      <c r="C121" s="9" t="s">
        <v>325</v>
      </c>
      <c r="D121" s="10" t="s">
        <v>326</v>
      </c>
      <c r="E121" s="10" t="s">
        <v>16</v>
      </c>
      <c r="F121" s="10" t="s">
        <v>30</v>
      </c>
      <c r="G121" s="11">
        <v>41504</v>
      </c>
      <c r="H121" s="10" t="s">
        <v>35</v>
      </c>
      <c r="I121" s="10" t="s">
        <v>31</v>
      </c>
      <c r="J121" s="10" t="s">
        <v>32</v>
      </c>
      <c r="K121" s="10" t="str">
        <f ca="1">DATEDIF('DATA PENDUDUK'!$G121,TODAY(),"Y")&amp; " TAHUN"</f>
        <v>11 TAHUN</v>
      </c>
      <c r="L121" s="12" t="s">
        <v>21</v>
      </c>
    </row>
    <row r="122" spans="1:12" ht="20.100000000000001" customHeight="1" x14ac:dyDescent="0.25">
      <c r="A122" s="8">
        <f t="shared" si="1"/>
        <v>119</v>
      </c>
      <c r="B122" s="9" t="s">
        <v>318</v>
      </c>
      <c r="C122" s="9" t="s">
        <v>327</v>
      </c>
      <c r="D122" s="10" t="s">
        <v>328</v>
      </c>
      <c r="E122" s="10" t="s">
        <v>16</v>
      </c>
      <c r="F122" s="10" t="s">
        <v>30</v>
      </c>
      <c r="G122" s="11">
        <v>43532</v>
      </c>
      <c r="H122" s="10" t="s">
        <v>35</v>
      </c>
      <c r="I122" s="10" t="s">
        <v>40</v>
      </c>
      <c r="J122" s="10" t="s">
        <v>32</v>
      </c>
      <c r="K122" s="10" t="str">
        <f ca="1">DATEDIF('DATA PENDUDUK'!$G122,TODAY(),"Y")&amp; " TAHUN"</f>
        <v>6 TAHUN</v>
      </c>
      <c r="L122" s="12" t="s">
        <v>21</v>
      </c>
    </row>
    <row r="123" spans="1:12" ht="20.100000000000001" customHeight="1" x14ac:dyDescent="0.25">
      <c r="A123" s="8">
        <f t="shared" si="1"/>
        <v>120</v>
      </c>
      <c r="B123" s="9" t="s">
        <v>329</v>
      </c>
      <c r="C123" s="9" t="s">
        <v>330</v>
      </c>
      <c r="D123" s="10" t="s">
        <v>331</v>
      </c>
      <c r="E123" s="10" t="s">
        <v>24</v>
      </c>
      <c r="F123" s="10" t="s">
        <v>332</v>
      </c>
      <c r="G123" s="11">
        <v>25259</v>
      </c>
      <c r="H123" s="10" t="s">
        <v>35</v>
      </c>
      <c r="I123" s="10" t="s">
        <v>40</v>
      </c>
      <c r="J123" s="10" t="s">
        <v>20</v>
      </c>
      <c r="K123" s="10" t="str">
        <f ca="1">DATEDIF('DATA PENDUDUK'!$G123,TODAY(),"Y")&amp; " TAHUN"</f>
        <v>56 TAHUN</v>
      </c>
      <c r="L123" s="12" t="s">
        <v>21</v>
      </c>
    </row>
    <row r="124" spans="1:12" ht="20.100000000000001" customHeight="1" x14ac:dyDescent="0.25">
      <c r="A124" s="8">
        <f t="shared" si="1"/>
        <v>121</v>
      </c>
      <c r="B124" s="9" t="s">
        <v>333</v>
      </c>
      <c r="C124" s="9" t="s">
        <v>334</v>
      </c>
      <c r="D124" s="10" t="s">
        <v>335</v>
      </c>
      <c r="E124" s="10" t="s">
        <v>16</v>
      </c>
      <c r="F124" s="10" t="s">
        <v>336</v>
      </c>
      <c r="G124" s="11">
        <v>31500</v>
      </c>
      <c r="H124" s="10" t="s">
        <v>35</v>
      </c>
      <c r="I124" s="10" t="s">
        <v>40</v>
      </c>
      <c r="J124" s="10" t="s">
        <v>20</v>
      </c>
      <c r="K124" s="10" t="str">
        <f ca="1">DATEDIF('DATA PENDUDUK'!$G124,TODAY(),"Y")&amp; " TAHUN"</f>
        <v>39 TAHUN</v>
      </c>
      <c r="L124" s="12" t="s">
        <v>21</v>
      </c>
    </row>
    <row r="125" spans="1:12" ht="20.100000000000001" customHeight="1" x14ac:dyDescent="0.25">
      <c r="A125" s="8">
        <f t="shared" si="1"/>
        <v>122</v>
      </c>
      <c r="B125" s="9" t="s">
        <v>333</v>
      </c>
      <c r="C125" s="9" t="s">
        <v>337</v>
      </c>
      <c r="D125" s="10" t="s">
        <v>338</v>
      </c>
      <c r="E125" s="10" t="s">
        <v>24</v>
      </c>
      <c r="F125" s="10" t="s">
        <v>339</v>
      </c>
      <c r="G125" s="11">
        <v>27473</v>
      </c>
      <c r="H125" s="10" t="s">
        <v>35</v>
      </c>
      <c r="I125" s="10" t="s">
        <v>26</v>
      </c>
      <c r="J125" s="10" t="s">
        <v>27</v>
      </c>
      <c r="K125" s="10" t="str">
        <f ca="1">DATEDIF('DATA PENDUDUK'!$G125,TODAY(),"Y")&amp; " TAHUN"</f>
        <v>50 TAHUN</v>
      </c>
      <c r="L125" s="12" t="s">
        <v>21</v>
      </c>
    </row>
    <row r="126" spans="1:12" ht="20.100000000000001" customHeight="1" x14ac:dyDescent="0.25">
      <c r="A126" s="8">
        <f t="shared" si="1"/>
        <v>123</v>
      </c>
      <c r="B126" s="9" t="s">
        <v>340</v>
      </c>
      <c r="C126" s="9" t="s">
        <v>341</v>
      </c>
      <c r="D126" s="10" t="s">
        <v>342</v>
      </c>
      <c r="E126" s="10" t="s">
        <v>16</v>
      </c>
      <c r="F126" s="10" t="s">
        <v>79</v>
      </c>
      <c r="G126" s="11">
        <v>28684</v>
      </c>
      <c r="H126" s="10" t="s">
        <v>35</v>
      </c>
      <c r="I126" s="10" t="s">
        <v>150</v>
      </c>
      <c r="J126" s="10" t="s">
        <v>20</v>
      </c>
      <c r="K126" s="10" t="str">
        <f ca="1">DATEDIF('DATA PENDUDUK'!$G126,TODAY(),"Y")&amp; " TAHUN"</f>
        <v>47 TAHUN</v>
      </c>
      <c r="L126" s="12" t="s">
        <v>21</v>
      </c>
    </row>
    <row r="127" spans="1:12" ht="20.100000000000001" customHeight="1" x14ac:dyDescent="0.25">
      <c r="A127" s="8">
        <f t="shared" si="1"/>
        <v>124</v>
      </c>
      <c r="B127" s="9" t="s">
        <v>340</v>
      </c>
      <c r="C127" s="9" t="s">
        <v>343</v>
      </c>
      <c r="D127" s="10" t="s">
        <v>344</v>
      </c>
      <c r="E127" s="10" t="s">
        <v>24</v>
      </c>
      <c r="F127" s="10" t="s">
        <v>345</v>
      </c>
      <c r="G127" s="11">
        <v>28589</v>
      </c>
      <c r="H127" s="10" t="s">
        <v>35</v>
      </c>
      <c r="I127" s="10" t="s">
        <v>19</v>
      </c>
      <c r="J127" s="10" t="s">
        <v>27</v>
      </c>
      <c r="K127" s="10" t="str">
        <f ca="1">DATEDIF('DATA PENDUDUK'!$G127,TODAY(),"Y")&amp; " TAHUN"</f>
        <v>47 TAHUN</v>
      </c>
      <c r="L127" s="12" t="s">
        <v>21</v>
      </c>
    </row>
    <row r="128" spans="1:12" ht="20.100000000000001" customHeight="1" x14ac:dyDescent="0.25">
      <c r="A128" s="8">
        <f t="shared" si="1"/>
        <v>125</v>
      </c>
      <c r="B128" s="9" t="s">
        <v>340</v>
      </c>
      <c r="C128" s="9" t="s">
        <v>346</v>
      </c>
      <c r="D128" s="10" t="s">
        <v>347</v>
      </c>
      <c r="E128" s="10" t="s">
        <v>16</v>
      </c>
      <c r="F128" s="10" t="s">
        <v>30</v>
      </c>
      <c r="G128" s="11">
        <v>40950</v>
      </c>
      <c r="H128" s="10" t="s">
        <v>35</v>
      </c>
      <c r="I128" s="10" t="s">
        <v>31</v>
      </c>
      <c r="J128" s="10" t="s">
        <v>32</v>
      </c>
      <c r="K128" s="10" t="str">
        <f ca="1">DATEDIF('DATA PENDUDUK'!$G128,TODAY(),"Y")&amp; " TAHUN"</f>
        <v>13 TAHUN</v>
      </c>
      <c r="L128" s="12" t="s">
        <v>21</v>
      </c>
    </row>
    <row r="129" spans="1:12" ht="20.100000000000001" customHeight="1" x14ac:dyDescent="0.25">
      <c r="A129" s="8">
        <f t="shared" si="1"/>
        <v>126</v>
      </c>
      <c r="B129" s="9" t="s">
        <v>340</v>
      </c>
      <c r="C129" s="9" t="s">
        <v>348</v>
      </c>
      <c r="D129" s="10" t="s">
        <v>349</v>
      </c>
      <c r="E129" s="10" t="s">
        <v>24</v>
      </c>
      <c r="F129" s="10" t="s">
        <v>30</v>
      </c>
      <c r="G129" s="11">
        <v>42143</v>
      </c>
      <c r="H129" s="10" t="s">
        <v>35</v>
      </c>
      <c r="I129" s="10" t="s">
        <v>31</v>
      </c>
      <c r="J129" s="10" t="s">
        <v>32</v>
      </c>
      <c r="K129" s="10" t="str">
        <f ca="1">DATEDIF('DATA PENDUDUK'!$G129,TODAY(),"Y")&amp; " TAHUN"</f>
        <v>10 TAHUN</v>
      </c>
      <c r="L129" s="12" t="s">
        <v>21</v>
      </c>
    </row>
    <row r="130" spans="1:12" ht="20.100000000000001" customHeight="1" x14ac:dyDescent="0.25">
      <c r="A130" s="8">
        <f t="shared" si="1"/>
        <v>127</v>
      </c>
      <c r="B130" s="9" t="s">
        <v>350</v>
      </c>
      <c r="C130" s="9" t="s">
        <v>351</v>
      </c>
      <c r="D130" s="10" t="s">
        <v>352</v>
      </c>
      <c r="E130" s="10" t="s">
        <v>16</v>
      </c>
      <c r="F130" s="10" t="s">
        <v>353</v>
      </c>
      <c r="G130" s="11">
        <v>26154</v>
      </c>
      <c r="H130" s="10" t="s">
        <v>35</v>
      </c>
      <c r="I130" s="10" t="s">
        <v>19</v>
      </c>
      <c r="J130" s="10" t="s">
        <v>20</v>
      </c>
      <c r="K130" s="10" t="str">
        <f ca="1">DATEDIF('DATA PENDUDUK'!$G130,TODAY(),"Y")&amp; " TAHUN"</f>
        <v>53 TAHUN</v>
      </c>
      <c r="L130" s="12" t="s">
        <v>21</v>
      </c>
    </row>
    <row r="131" spans="1:12" ht="20.100000000000001" customHeight="1" x14ac:dyDescent="0.25">
      <c r="A131" s="8">
        <f t="shared" si="1"/>
        <v>128</v>
      </c>
      <c r="B131" s="9" t="s">
        <v>350</v>
      </c>
      <c r="C131" s="9" t="s">
        <v>354</v>
      </c>
      <c r="D131" s="10" t="s">
        <v>355</v>
      </c>
      <c r="E131" s="10" t="s">
        <v>24</v>
      </c>
      <c r="F131" s="10" t="s">
        <v>290</v>
      </c>
      <c r="G131" s="11">
        <v>26895</v>
      </c>
      <c r="H131" s="10" t="s">
        <v>35</v>
      </c>
      <c r="I131" s="10" t="s">
        <v>26</v>
      </c>
      <c r="J131" s="10" t="s">
        <v>27</v>
      </c>
      <c r="K131" s="10" t="str">
        <f ca="1">DATEDIF('DATA PENDUDUK'!$G131,TODAY(),"Y")&amp; " TAHUN"</f>
        <v>51 TAHUN</v>
      </c>
      <c r="L131" s="12" t="s">
        <v>21</v>
      </c>
    </row>
    <row r="132" spans="1:12" ht="20.100000000000001" customHeight="1" x14ac:dyDescent="0.25">
      <c r="A132" s="8">
        <f t="shared" si="1"/>
        <v>129</v>
      </c>
      <c r="B132" s="9" t="s">
        <v>350</v>
      </c>
      <c r="C132" s="9" t="s">
        <v>356</v>
      </c>
      <c r="D132" s="10" t="s">
        <v>357</v>
      </c>
      <c r="E132" s="10" t="s">
        <v>16</v>
      </c>
      <c r="F132" s="10" t="s">
        <v>290</v>
      </c>
      <c r="G132" s="11">
        <v>34634</v>
      </c>
      <c r="H132" s="10" t="s">
        <v>35</v>
      </c>
      <c r="I132" s="10" t="s">
        <v>40</v>
      </c>
      <c r="J132" s="10" t="s">
        <v>32</v>
      </c>
      <c r="K132" s="10" t="str">
        <f ca="1">DATEDIF('DATA PENDUDUK'!$G132,TODAY(),"Y")&amp; " TAHUN"</f>
        <v>30 TAHUN</v>
      </c>
      <c r="L132" s="12" t="s">
        <v>21</v>
      </c>
    </row>
    <row r="133" spans="1:12" ht="20.100000000000001" customHeight="1" x14ac:dyDescent="0.25">
      <c r="A133" s="8">
        <f t="shared" si="1"/>
        <v>130</v>
      </c>
      <c r="B133" s="9" t="s">
        <v>350</v>
      </c>
      <c r="C133" s="9" t="s">
        <v>358</v>
      </c>
      <c r="D133" s="10" t="s">
        <v>359</v>
      </c>
      <c r="E133" s="10" t="s">
        <v>24</v>
      </c>
      <c r="F133" s="10" t="s">
        <v>30</v>
      </c>
      <c r="G133" s="11">
        <v>38640</v>
      </c>
      <c r="H133" s="10" t="s">
        <v>35</v>
      </c>
      <c r="I133" s="10" t="s">
        <v>31</v>
      </c>
      <c r="J133" s="10" t="s">
        <v>32</v>
      </c>
      <c r="K133" s="10" t="str">
        <f ca="1">DATEDIF('DATA PENDUDUK'!$G133,TODAY(),"Y")&amp; " TAHUN"</f>
        <v>19 TAHUN</v>
      </c>
      <c r="L133" s="12" t="s">
        <v>21</v>
      </c>
    </row>
    <row r="134" spans="1:12" ht="20.100000000000001" customHeight="1" x14ac:dyDescent="0.25">
      <c r="A134" s="8">
        <f t="shared" ref="A134:A197" si="2">IF(D134="","",ROW()-3)</f>
        <v>131</v>
      </c>
      <c r="B134" s="9" t="s">
        <v>350</v>
      </c>
      <c r="C134" s="9" t="s">
        <v>360</v>
      </c>
      <c r="D134" s="10" t="s">
        <v>361</v>
      </c>
      <c r="E134" s="10" t="s">
        <v>24</v>
      </c>
      <c r="F134" s="10" t="s">
        <v>290</v>
      </c>
      <c r="G134" s="11">
        <v>16695</v>
      </c>
      <c r="H134" s="10" t="s">
        <v>35</v>
      </c>
      <c r="I134" s="10" t="s">
        <v>26</v>
      </c>
      <c r="J134" s="10" t="s">
        <v>362</v>
      </c>
      <c r="K134" s="10" t="str">
        <f ca="1">DATEDIF('DATA PENDUDUK'!$G134,TODAY(),"Y")&amp; " TAHUN"</f>
        <v>79 TAHUN</v>
      </c>
      <c r="L134" s="12" t="s">
        <v>21</v>
      </c>
    </row>
    <row r="135" spans="1:12" ht="20.100000000000001" customHeight="1" x14ac:dyDescent="0.25">
      <c r="A135" s="8">
        <f t="shared" si="2"/>
        <v>132</v>
      </c>
      <c r="B135" s="9" t="s">
        <v>363</v>
      </c>
      <c r="C135" s="9" t="s">
        <v>364</v>
      </c>
      <c r="D135" s="10" t="s">
        <v>365</v>
      </c>
      <c r="E135" s="10" t="s">
        <v>16</v>
      </c>
      <c r="F135" s="10" t="s">
        <v>366</v>
      </c>
      <c r="G135" s="11">
        <v>24315</v>
      </c>
      <c r="H135" s="10" t="s">
        <v>18</v>
      </c>
      <c r="I135" s="10" t="s">
        <v>162</v>
      </c>
      <c r="J135" s="10" t="s">
        <v>20</v>
      </c>
      <c r="K135" s="10" t="str">
        <f ca="1">DATEDIF('DATA PENDUDUK'!$G135,TODAY(),"Y")&amp; " TAHUN"</f>
        <v>58 TAHUN</v>
      </c>
      <c r="L135" s="12" t="s">
        <v>21</v>
      </c>
    </row>
    <row r="136" spans="1:12" ht="20.100000000000001" customHeight="1" x14ac:dyDescent="0.25">
      <c r="A136" s="8">
        <f t="shared" si="2"/>
        <v>133</v>
      </c>
      <c r="B136" s="9" t="s">
        <v>363</v>
      </c>
      <c r="C136" s="9" t="s">
        <v>367</v>
      </c>
      <c r="D136" s="10" t="s">
        <v>368</v>
      </c>
      <c r="E136" s="10" t="s">
        <v>24</v>
      </c>
      <c r="F136" s="10" t="s">
        <v>87</v>
      </c>
      <c r="G136" s="11">
        <v>24680</v>
      </c>
      <c r="H136" s="10" t="s">
        <v>35</v>
      </c>
      <c r="I136" s="10" t="s">
        <v>26</v>
      </c>
      <c r="J136" s="10" t="s">
        <v>27</v>
      </c>
      <c r="K136" s="10" t="str">
        <f ca="1">DATEDIF('DATA PENDUDUK'!$G136,TODAY(),"Y")&amp; " TAHUN"</f>
        <v>57 TAHUN</v>
      </c>
      <c r="L136" s="12" t="s">
        <v>21</v>
      </c>
    </row>
    <row r="137" spans="1:12" ht="20.100000000000001" customHeight="1" x14ac:dyDescent="0.25">
      <c r="A137" s="8">
        <f t="shared" si="2"/>
        <v>134</v>
      </c>
      <c r="B137" s="9" t="s">
        <v>363</v>
      </c>
      <c r="C137" s="9" t="s">
        <v>367</v>
      </c>
      <c r="D137" s="10" t="s">
        <v>369</v>
      </c>
      <c r="E137" s="10" t="s">
        <v>16</v>
      </c>
      <c r="F137" s="10" t="s">
        <v>366</v>
      </c>
      <c r="G137" s="11">
        <v>32993</v>
      </c>
      <c r="H137" s="10" t="s">
        <v>18</v>
      </c>
      <c r="I137" s="10" t="s">
        <v>40</v>
      </c>
      <c r="J137" s="10" t="s">
        <v>32</v>
      </c>
      <c r="K137" s="10" t="str">
        <f ca="1">DATEDIF('DATA PENDUDUK'!$G137,TODAY(),"Y")&amp; " TAHUN"</f>
        <v>35 TAHUN</v>
      </c>
      <c r="L137" s="12" t="s">
        <v>21</v>
      </c>
    </row>
    <row r="138" spans="1:12" ht="20.100000000000001" customHeight="1" x14ac:dyDescent="0.25">
      <c r="A138" s="8">
        <f t="shared" si="2"/>
        <v>135</v>
      </c>
      <c r="B138" s="9" t="s">
        <v>363</v>
      </c>
      <c r="C138" s="9" t="s">
        <v>370</v>
      </c>
      <c r="D138" s="10" t="s">
        <v>371</v>
      </c>
      <c r="E138" s="10" t="s">
        <v>16</v>
      </c>
      <c r="F138" s="10" t="s">
        <v>366</v>
      </c>
      <c r="G138" s="11">
        <v>33792</v>
      </c>
      <c r="H138" s="10" t="s">
        <v>18</v>
      </c>
      <c r="I138" s="10" t="s">
        <v>40</v>
      </c>
      <c r="J138" s="10" t="s">
        <v>32</v>
      </c>
      <c r="K138" s="10" t="str">
        <f ca="1">DATEDIF('DATA PENDUDUK'!$G138,TODAY(),"Y")&amp; " TAHUN"</f>
        <v>33 TAHUN</v>
      </c>
      <c r="L138" s="12" t="s">
        <v>21</v>
      </c>
    </row>
    <row r="139" spans="1:12" ht="20.100000000000001" customHeight="1" x14ac:dyDescent="0.25">
      <c r="A139" s="8">
        <f t="shared" si="2"/>
        <v>136</v>
      </c>
      <c r="B139" s="9" t="s">
        <v>363</v>
      </c>
      <c r="C139" s="9" t="s">
        <v>372</v>
      </c>
      <c r="D139" s="10" t="s">
        <v>373</v>
      </c>
      <c r="E139" s="10" t="s">
        <v>16</v>
      </c>
      <c r="F139" s="10" t="s">
        <v>208</v>
      </c>
      <c r="G139" s="11">
        <v>35256</v>
      </c>
      <c r="H139" s="10" t="s">
        <v>35</v>
      </c>
      <c r="I139" s="10" t="s">
        <v>40</v>
      </c>
      <c r="J139" s="10" t="s">
        <v>32</v>
      </c>
      <c r="K139" s="10" t="str">
        <f ca="1">DATEDIF('DATA PENDUDUK'!$G139,TODAY(),"Y")&amp; " TAHUN"</f>
        <v>29 TAHUN</v>
      </c>
      <c r="L139" s="12" t="s">
        <v>21</v>
      </c>
    </row>
    <row r="140" spans="1:12" ht="20.100000000000001" customHeight="1" x14ac:dyDescent="0.25">
      <c r="A140" s="8">
        <f t="shared" si="2"/>
        <v>137</v>
      </c>
      <c r="B140" s="9" t="s">
        <v>363</v>
      </c>
      <c r="C140" s="9" t="s">
        <v>374</v>
      </c>
      <c r="D140" s="10" t="s">
        <v>375</v>
      </c>
      <c r="E140" s="10" t="s">
        <v>24</v>
      </c>
      <c r="F140" s="10" t="s">
        <v>376</v>
      </c>
      <c r="G140" s="11">
        <v>38117</v>
      </c>
      <c r="H140" s="10" t="s">
        <v>18</v>
      </c>
      <c r="I140" s="10" t="s">
        <v>40</v>
      </c>
      <c r="J140" s="10" t="s">
        <v>32</v>
      </c>
      <c r="K140" s="10" t="str">
        <f ca="1">DATEDIF('DATA PENDUDUK'!$G140,TODAY(),"Y")&amp; " TAHUN"</f>
        <v>21 TAHUN</v>
      </c>
      <c r="L140" s="12" t="s">
        <v>21</v>
      </c>
    </row>
    <row r="141" spans="1:12" ht="20.100000000000001" customHeight="1" x14ac:dyDescent="0.25">
      <c r="A141" s="8">
        <f t="shared" si="2"/>
        <v>138</v>
      </c>
      <c r="B141" s="9" t="s">
        <v>377</v>
      </c>
      <c r="C141" s="9" t="s">
        <v>378</v>
      </c>
      <c r="D141" s="10" t="s">
        <v>379</v>
      </c>
      <c r="E141" s="10" t="s">
        <v>24</v>
      </c>
      <c r="F141" s="10" t="s">
        <v>380</v>
      </c>
      <c r="G141" s="11">
        <v>26422</v>
      </c>
      <c r="H141" s="10" t="s">
        <v>35</v>
      </c>
      <c r="I141" s="10" t="s">
        <v>19</v>
      </c>
      <c r="J141" s="10" t="s">
        <v>20</v>
      </c>
      <c r="K141" s="10" t="str">
        <f ca="1">DATEDIF('DATA PENDUDUK'!$G141,TODAY(),"Y")&amp; " TAHUN"</f>
        <v>53 TAHUN</v>
      </c>
      <c r="L141" s="12" t="s">
        <v>21</v>
      </c>
    </row>
    <row r="142" spans="1:12" ht="20.100000000000001" customHeight="1" x14ac:dyDescent="0.25">
      <c r="A142" s="8">
        <f t="shared" si="2"/>
        <v>139</v>
      </c>
      <c r="B142" s="9" t="s">
        <v>381</v>
      </c>
      <c r="C142" s="9" t="s">
        <v>382</v>
      </c>
      <c r="D142" s="10" t="s">
        <v>383</v>
      </c>
      <c r="E142" s="10" t="s">
        <v>16</v>
      </c>
      <c r="F142" s="10" t="s">
        <v>87</v>
      </c>
      <c r="G142" s="11">
        <v>32328</v>
      </c>
      <c r="H142" s="10" t="s">
        <v>35</v>
      </c>
      <c r="I142" s="10" t="s">
        <v>19</v>
      </c>
      <c r="J142" s="10" t="s">
        <v>20</v>
      </c>
      <c r="K142" s="10" t="str">
        <f ca="1">DATEDIF('DATA PENDUDUK'!$G142,TODAY(),"Y")&amp; " TAHUN"</f>
        <v>37 TAHUN</v>
      </c>
      <c r="L142" s="12" t="s">
        <v>21</v>
      </c>
    </row>
    <row r="143" spans="1:12" ht="20.100000000000001" customHeight="1" x14ac:dyDescent="0.25">
      <c r="A143" s="8">
        <f t="shared" si="2"/>
        <v>140</v>
      </c>
      <c r="B143" s="9" t="s">
        <v>381</v>
      </c>
      <c r="C143" s="9" t="s">
        <v>384</v>
      </c>
      <c r="D143" s="10" t="s">
        <v>385</v>
      </c>
      <c r="E143" s="10" t="s">
        <v>24</v>
      </c>
      <c r="F143" s="10" t="s">
        <v>30</v>
      </c>
      <c r="G143" s="11">
        <v>32880</v>
      </c>
      <c r="H143" s="10" t="s">
        <v>35</v>
      </c>
      <c r="I143" s="10" t="s">
        <v>19</v>
      </c>
      <c r="J143" s="10" t="s">
        <v>27</v>
      </c>
      <c r="K143" s="10" t="str">
        <f ca="1">DATEDIF('DATA PENDUDUK'!$G143,TODAY(),"Y")&amp; " TAHUN"</f>
        <v>35 TAHUN</v>
      </c>
      <c r="L143" s="12" t="s">
        <v>21</v>
      </c>
    </row>
    <row r="144" spans="1:12" ht="20.100000000000001" customHeight="1" x14ac:dyDescent="0.25">
      <c r="A144" s="8">
        <f t="shared" si="2"/>
        <v>141</v>
      </c>
      <c r="B144" s="9" t="s">
        <v>381</v>
      </c>
      <c r="C144" s="9" t="s">
        <v>386</v>
      </c>
      <c r="D144" s="10" t="s">
        <v>387</v>
      </c>
      <c r="E144" s="10" t="s">
        <v>24</v>
      </c>
      <c r="F144" s="10" t="s">
        <v>30</v>
      </c>
      <c r="G144" s="11">
        <v>36838</v>
      </c>
      <c r="H144" s="10" t="s">
        <v>35</v>
      </c>
      <c r="I144" s="10" t="s">
        <v>40</v>
      </c>
      <c r="J144" s="10" t="s">
        <v>32</v>
      </c>
      <c r="K144" s="10" t="str">
        <f ca="1">DATEDIF('DATA PENDUDUK'!$G144,TODAY(),"Y")&amp; " TAHUN"</f>
        <v>24 TAHUN</v>
      </c>
      <c r="L144" s="12" t="s">
        <v>21</v>
      </c>
    </row>
    <row r="145" spans="1:12" ht="20.100000000000001" customHeight="1" x14ac:dyDescent="0.25">
      <c r="A145" s="8">
        <f t="shared" si="2"/>
        <v>142</v>
      </c>
      <c r="B145" s="9" t="s">
        <v>381</v>
      </c>
      <c r="C145" s="9" t="s">
        <v>388</v>
      </c>
      <c r="D145" s="10" t="s">
        <v>389</v>
      </c>
      <c r="E145" s="10" t="s">
        <v>16</v>
      </c>
      <c r="F145" s="10" t="s">
        <v>30</v>
      </c>
      <c r="G145" s="11">
        <v>40749</v>
      </c>
      <c r="H145" s="10" t="s">
        <v>35</v>
      </c>
      <c r="I145" s="10" t="s">
        <v>31</v>
      </c>
      <c r="J145" s="10" t="s">
        <v>32</v>
      </c>
      <c r="K145" s="10" t="str">
        <f ca="1">DATEDIF('DATA PENDUDUK'!$G145,TODAY(),"Y")&amp; " TAHUN"</f>
        <v>13 TAHUN</v>
      </c>
      <c r="L145" s="12" t="s">
        <v>21</v>
      </c>
    </row>
    <row r="146" spans="1:12" ht="20.100000000000001" customHeight="1" x14ac:dyDescent="0.25">
      <c r="A146" s="8">
        <f t="shared" si="2"/>
        <v>143</v>
      </c>
      <c r="B146" s="9" t="s">
        <v>390</v>
      </c>
      <c r="C146" s="9" t="s">
        <v>391</v>
      </c>
      <c r="D146" s="10" t="s">
        <v>392</v>
      </c>
      <c r="E146" s="10" t="s">
        <v>16</v>
      </c>
      <c r="F146" s="10" t="s">
        <v>46</v>
      </c>
      <c r="G146" s="11">
        <v>25424</v>
      </c>
      <c r="H146" s="10" t="s">
        <v>35</v>
      </c>
      <c r="I146" s="10" t="s">
        <v>19</v>
      </c>
      <c r="J146" s="10" t="s">
        <v>20</v>
      </c>
      <c r="K146" s="10" t="str">
        <f ca="1">DATEDIF('DATA PENDUDUK'!$G146,TODAY(),"Y")&amp; " TAHUN"</f>
        <v>55 TAHUN</v>
      </c>
      <c r="L146" s="12" t="s">
        <v>21</v>
      </c>
    </row>
    <row r="147" spans="1:12" ht="20.100000000000001" customHeight="1" x14ac:dyDescent="0.25">
      <c r="A147" s="8">
        <f t="shared" si="2"/>
        <v>144</v>
      </c>
      <c r="B147" s="9" t="s">
        <v>390</v>
      </c>
      <c r="C147" s="9" t="s">
        <v>393</v>
      </c>
      <c r="D147" s="10" t="s">
        <v>394</v>
      </c>
      <c r="E147" s="10" t="s">
        <v>16</v>
      </c>
      <c r="F147" s="10" t="s">
        <v>345</v>
      </c>
      <c r="G147" s="11">
        <v>34029</v>
      </c>
      <c r="H147" s="10" t="s">
        <v>35</v>
      </c>
      <c r="I147" s="10" t="s">
        <v>19</v>
      </c>
      <c r="J147" s="10" t="s">
        <v>32</v>
      </c>
      <c r="K147" s="10" t="str">
        <f ca="1">DATEDIF('DATA PENDUDUK'!$G147,TODAY(),"Y")&amp; " TAHUN"</f>
        <v>32 TAHUN</v>
      </c>
      <c r="L147" s="12" t="s">
        <v>21</v>
      </c>
    </row>
    <row r="148" spans="1:12" ht="20.100000000000001" customHeight="1" x14ac:dyDescent="0.25">
      <c r="A148" s="8">
        <f t="shared" si="2"/>
        <v>145</v>
      </c>
      <c r="B148" s="9" t="s">
        <v>395</v>
      </c>
      <c r="C148" s="9" t="s">
        <v>396</v>
      </c>
      <c r="D148" s="10" t="s">
        <v>397</v>
      </c>
      <c r="E148" s="10" t="s">
        <v>16</v>
      </c>
      <c r="F148" s="10" t="s">
        <v>46</v>
      </c>
      <c r="G148" s="11">
        <v>27459</v>
      </c>
      <c r="H148" s="10" t="s">
        <v>35</v>
      </c>
      <c r="I148" s="10" t="s">
        <v>19</v>
      </c>
      <c r="J148" s="10" t="s">
        <v>20</v>
      </c>
      <c r="K148" s="10" t="str">
        <f ca="1">DATEDIF('DATA PENDUDUK'!$G148,TODAY(),"Y")&amp; " TAHUN"</f>
        <v>50 TAHUN</v>
      </c>
      <c r="L148" s="12" t="s">
        <v>21</v>
      </c>
    </row>
    <row r="149" spans="1:12" ht="20.100000000000001" customHeight="1" x14ac:dyDescent="0.25">
      <c r="A149" s="8">
        <f t="shared" si="2"/>
        <v>146</v>
      </c>
      <c r="B149" s="9" t="s">
        <v>395</v>
      </c>
      <c r="C149" s="9" t="s">
        <v>398</v>
      </c>
      <c r="D149" s="10" t="s">
        <v>399</v>
      </c>
      <c r="E149" s="10" t="s">
        <v>24</v>
      </c>
      <c r="F149" s="10" t="s">
        <v>400</v>
      </c>
      <c r="G149" s="11">
        <v>27159</v>
      </c>
      <c r="H149" s="10" t="s">
        <v>35</v>
      </c>
      <c r="I149" s="10" t="s">
        <v>40</v>
      </c>
      <c r="J149" s="10" t="s">
        <v>27</v>
      </c>
      <c r="K149" s="10" t="str">
        <f ca="1">DATEDIF('DATA PENDUDUK'!$G149,TODAY(),"Y")&amp; " TAHUN"</f>
        <v>51 TAHUN</v>
      </c>
      <c r="L149" s="12" t="s">
        <v>21</v>
      </c>
    </row>
    <row r="150" spans="1:12" ht="20.100000000000001" customHeight="1" x14ac:dyDescent="0.25">
      <c r="A150" s="8">
        <f t="shared" si="2"/>
        <v>147</v>
      </c>
      <c r="B150" s="9" t="s">
        <v>395</v>
      </c>
      <c r="C150" s="9" t="s">
        <v>401</v>
      </c>
      <c r="D150" s="10" t="s">
        <v>402</v>
      </c>
      <c r="E150" s="10" t="s">
        <v>24</v>
      </c>
      <c r="F150" s="10" t="s">
        <v>400</v>
      </c>
      <c r="G150" s="11">
        <v>36378</v>
      </c>
      <c r="H150" s="10" t="s">
        <v>35</v>
      </c>
      <c r="I150" s="10" t="s">
        <v>73</v>
      </c>
      <c r="J150" s="10" t="s">
        <v>32</v>
      </c>
      <c r="K150" s="10" t="str">
        <f ca="1">DATEDIF('DATA PENDUDUK'!$G150,TODAY(),"Y")&amp; " TAHUN"</f>
        <v>25 TAHUN</v>
      </c>
      <c r="L150" s="12" t="s">
        <v>21</v>
      </c>
    </row>
    <row r="151" spans="1:12" ht="20.100000000000001" customHeight="1" x14ac:dyDescent="0.25">
      <c r="A151" s="8">
        <f t="shared" si="2"/>
        <v>148</v>
      </c>
      <c r="B151" s="9" t="s">
        <v>395</v>
      </c>
      <c r="C151" s="9" t="s">
        <v>403</v>
      </c>
      <c r="D151" s="10" t="s">
        <v>404</v>
      </c>
      <c r="E151" s="10" t="s">
        <v>16</v>
      </c>
      <c r="F151" s="10" t="s">
        <v>30</v>
      </c>
      <c r="G151" s="11">
        <v>42142</v>
      </c>
      <c r="H151" s="10" t="s">
        <v>35</v>
      </c>
      <c r="I151" s="10" t="s">
        <v>31</v>
      </c>
      <c r="J151" s="10" t="s">
        <v>32</v>
      </c>
      <c r="K151" s="10" t="str">
        <f ca="1">DATEDIF('DATA PENDUDUK'!$G151,TODAY(),"Y")&amp; " TAHUN"</f>
        <v>10 TAHUN</v>
      </c>
      <c r="L151" s="12" t="s">
        <v>21</v>
      </c>
    </row>
    <row r="152" spans="1:12" ht="20.100000000000001" customHeight="1" x14ac:dyDescent="0.25">
      <c r="A152" s="8">
        <f t="shared" si="2"/>
        <v>149</v>
      </c>
      <c r="B152" s="9" t="s">
        <v>405</v>
      </c>
      <c r="C152" s="9" t="s">
        <v>406</v>
      </c>
      <c r="D152" s="10" t="s">
        <v>407</v>
      </c>
      <c r="E152" s="10" t="s">
        <v>24</v>
      </c>
      <c r="F152" s="10" t="s">
        <v>189</v>
      </c>
      <c r="G152" s="11">
        <v>34892</v>
      </c>
      <c r="H152" s="10" t="s">
        <v>35</v>
      </c>
      <c r="I152" s="10" t="s">
        <v>19</v>
      </c>
      <c r="J152" s="10" t="s">
        <v>20</v>
      </c>
      <c r="K152" s="10" t="str">
        <f ca="1">DATEDIF('DATA PENDUDUK'!$G152,TODAY(),"Y")&amp; " TAHUN"</f>
        <v>30 TAHUN</v>
      </c>
      <c r="L152" s="12" t="s">
        <v>21</v>
      </c>
    </row>
    <row r="153" spans="1:12" ht="20.100000000000001" customHeight="1" x14ac:dyDescent="0.25">
      <c r="A153" s="8">
        <f t="shared" si="2"/>
        <v>150</v>
      </c>
      <c r="B153" s="9" t="s">
        <v>408</v>
      </c>
      <c r="C153" s="9" t="s">
        <v>409</v>
      </c>
      <c r="D153" s="10" t="s">
        <v>410</v>
      </c>
      <c r="E153" s="10" t="s">
        <v>16</v>
      </c>
      <c r="F153" s="10" t="s">
        <v>46</v>
      </c>
      <c r="G153" s="11">
        <v>33301</v>
      </c>
      <c r="H153" s="10" t="s">
        <v>35</v>
      </c>
      <c r="I153" s="10" t="s">
        <v>40</v>
      </c>
      <c r="J153" s="10" t="s">
        <v>20</v>
      </c>
      <c r="K153" s="10" t="str">
        <f ca="1">DATEDIF('DATA PENDUDUK'!$G153,TODAY(),"Y")&amp; " TAHUN"</f>
        <v>34 TAHUN</v>
      </c>
      <c r="L153" s="12" t="s">
        <v>21</v>
      </c>
    </row>
    <row r="154" spans="1:12" ht="20.100000000000001" customHeight="1" x14ac:dyDescent="0.25">
      <c r="A154" s="8">
        <f t="shared" si="2"/>
        <v>151</v>
      </c>
      <c r="B154" s="9" t="s">
        <v>408</v>
      </c>
      <c r="C154" s="9" t="s">
        <v>411</v>
      </c>
      <c r="D154" s="10" t="s">
        <v>412</v>
      </c>
      <c r="E154" s="10" t="s">
        <v>24</v>
      </c>
      <c r="F154" s="10" t="s">
        <v>25</v>
      </c>
      <c r="G154" s="11">
        <v>33181</v>
      </c>
      <c r="H154" s="10" t="s">
        <v>35</v>
      </c>
      <c r="I154" s="10" t="s">
        <v>26</v>
      </c>
      <c r="J154" s="10" t="s">
        <v>27</v>
      </c>
      <c r="K154" s="10" t="str">
        <f ca="1">DATEDIF('DATA PENDUDUK'!$G154,TODAY(),"Y")&amp; " TAHUN"</f>
        <v>34 TAHUN</v>
      </c>
      <c r="L154" s="12" t="s">
        <v>21</v>
      </c>
    </row>
    <row r="155" spans="1:12" ht="20.100000000000001" customHeight="1" x14ac:dyDescent="0.25">
      <c r="A155" s="8">
        <f t="shared" si="2"/>
        <v>152</v>
      </c>
      <c r="B155" s="9" t="s">
        <v>413</v>
      </c>
      <c r="C155" s="9" t="s">
        <v>414</v>
      </c>
      <c r="D155" s="10" t="s">
        <v>415</v>
      </c>
      <c r="E155" s="10" t="s">
        <v>24</v>
      </c>
      <c r="F155" s="10" t="s">
        <v>416</v>
      </c>
      <c r="G155" s="11">
        <v>31142</v>
      </c>
      <c r="H155" s="10" t="s">
        <v>18</v>
      </c>
      <c r="I155" s="10" t="s">
        <v>73</v>
      </c>
      <c r="J155" s="10" t="s">
        <v>20</v>
      </c>
      <c r="K155" s="10" t="str">
        <f ca="1">DATEDIF('DATA PENDUDUK'!$G155,TODAY(),"Y")&amp; " TAHUN"</f>
        <v>40 TAHUN</v>
      </c>
      <c r="L155" s="12" t="s">
        <v>21</v>
      </c>
    </row>
    <row r="156" spans="1:12" ht="20.100000000000001" customHeight="1" x14ac:dyDescent="0.25">
      <c r="A156" s="8">
        <f t="shared" si="2"/>
        <v>153</v>
      </c>
      <c r="B156" s="9" t="s">
        <v>413</v>
      </c>
      <c r="C156" s="9" t="s">
        <v>417</v>
      </c>
      <c r="D156" s="10" t="s">
        <v>418</v>
      </c>
      <c r="E156" s="10" t="s">
        <v>16</v>
      </c>
      <c r="F156" s="10" t="s">
        <v>158</v>
      </c>
      <c r="G156" s="11">
        <v>43163</v>
      </c>
      <c r="H156" s="10" t="s">
        <v>18</v>
      </c>
      <c r="I156" s="10" t="s">
        <v>40</v>
      </c>
      <c r="J156" s="10" t="s">
        <v>32</v>
      </c>
      <c r="K156" s="10" t="str">
        <f ca="1">DATEDIF('DATA PENDUDUK'!$G156,TODAY(),"Y")&amp; " TAHUN"</f>
        <v>7 TAHUN</v>
      </c>
      <c r="L156" s="12" t="s">
        <v>21</v>
      </c>
    </row>
    <row r="157" spans="1:12" ht="20.100000000000001" customHeight="1" x14ac:dyDescent="0.25">
      <c r="A157" s="8">
        <f t="shared" si="2"/>
        <v>154</v>
      </c>
      <c r="B157" s="9" t="s">
        <v>419</v>
      </c>
      <c r="C157" s="9" t="s">
        <v>420</v>
      </c>
      <c r="D157" s="10" t="s">
        <v>421</v>
      </c>
      <c r="E157" s="10" t="s">
        <v>24</v>
      </c>
      <c r="F157" s="10" t="s">
        <v>189</v>
      </c>
      <c r="G157" s="11">
        <v>28775</v>
      </c>
      <c r="H157" s="10" t="s">
        <v>35</v>
      </c>
      <c r="I157" s="10" t="s">
        <v>19</v>
      </c>
      <c r="J157" s="10" t="s">
        <v>20</v>
      </c>
      <c r="K157" s="10" t="str">
        <f ca="1">DATEDIF('DATA PENDUDUK'!$G157,TODAY(),"Y")&amp; " TAHUN"</f>
        <v>46 TAHUN</v>
      </c>
      <c r="L157" s="12" t="s">
        <v>21</v>
      </c>
    </row>
    <row r="158" spans="1:12" ht="20.100000000000001" customHeight="1" x14ac:dyDescent="0.25">
      <c r="A158" s="8">
        <f t="shared" si="2"/>
        <v>155</v>
      </c>
      <c r="B158" s="9" t="s">
        <v>422</v>
      </c>
      <c r="C158" s="9" t="s">
        <v>423</v>
      </c>
      <c r="D158" s="10" t="s">
        <v>424</v>
      </c>
      <c r="E158" s="10" t="s">
        <v>16</v>
      </c>
      <c r="F158" s="10" t="s">
        <v>290</v>
      </c>
      <c r="G158" s="11">
        <v>30486</v>
      </c>
      <c r="H158" s="10" t="s">
        <v>35</v>
      </c>
      <c r="I158" s="10" t="s">
        <v>19</v>
      </c>
      <c r="J158" s="10" t="s">
        <v>20</v>
      </c>
      <c r="K158" s="10" t="str">
        <f ca="1">DATEDIF('DATA PENDUDUK'!$G158,TODAY(),"Y")&amp; " TAHUN"</f>
        <v>42 TAHUN</v>
      </c>
      <c r="L158" s="12" t="s">
        <v>21</v>
      </c>
    </row>
    <row r="159" spans="1:12" ht="20.100000000000001" customHeight="1" x14ac:dyDescent="0.25">
      <c r="A159" s="8">
        <f t="shared" si="2"/>
        <v>156</v>
      </c>
      <c r="B159" s="9" t="s">
        <v>425</v>
      </c>
      <c r="C159" s="9" t="s">
        <v>426</v>
      </c>
      <c r="D159" s="10" t="s">
        <v>427</v>
      </c>
      <c r="E159" s="10" t="s">
        <v>16</v>
      </c>
      <c r="F159" s="10" t="s">
        <v>87</v>
      </c>
      <c r="G159" s="11">
        <v>26513</v>
      </c>
      <c r="H159" s="10" t="s">
        <v>35</v>
      </c>
      <c r="I159" s="10" t="s">
        <v>19</v>
      </c>
      <c r="J159" s="10" t="s">
        <v>20</v>
      </c>
      <c r="K159" s="10" t="str">
        <f ca="1">DATEDIF('DATA PENDUDUK'!$G159,TODAY(),"Y")&amp; " TAHUN"</f>
        <v>52 TAHUN</v>
      </c>
      <c r="L159" s="12" t="s">
        <v>21</v>
      </c>
    </row>
    <row r="160" spans="1:12" ht="20.100000000000001" customHeight="1" x14ac:dyDescent="0.25">
      <c r="A160" s="8">
        <f t="shared" si="2"/>
        <v>157</v>
      </c>
      <c r="B160" s="9" t="s">
        <v>428</v>
      </c>
      <c r="C160" s="9" t="s">
        <v>429</v>
      </c>
      <c r="D160" s="10" t="s">
        <v>430</v>
      </c>
      <c r="E160" s="10" t="s">
        <v>16</v>
      </c>
      <c r="F160" s="10" t="s">
        <v>46</v>
      </c>
      <c r="G160" s="11">
        <v>24396</v>
      </c>
      <c r="H160" s="10" t="s">
        <v>35</v>
      </c>
      <c r="I160" s="10" t="s">
        <v>19</v>
      </c>
      <c r="J160" s="10" t="s">
        <v>20</v>
      </c>
      <c r="K160" s="10" t="str">
        <f ca="1">DATEDIF('DATA PENDUDUK'!$G160,TODAY(),"Y")&amp; " TAHUN"</f>
        <v>58 TAHUN</v>
      </c>
      <c r="L160" s="12" t="s">
        <v>21</v>
      </c>
    </row>
    <row r="161" spans="1:12" ht="20.100000000000001" customHeight="1" x14ac:dyDescent="0.25">
      <c r="A161" s="8">
        <f t="shared" si="2"/>
        <v>158</v>
      </c>
      <c r="B161" s="9" t="s">
        <v>428</v>
      </c>
      <c r="C161" s="9" t="s">
        <v>431</v>
      </c>
      <c r="D161" s="10" t="s">
        <v>63</v>
      </c>
      <c r="E161" s="10" t="s">
        <v>24</v>
      </c>
      <c r="F161" s="10" t="s">
        <v>432</v>
      </c>
      <c r="G161" s="11">
        <v>24656</v>
      </c>
      <c r="H161" s="10" t="s">
        <v>35</v>
      </c>
      <c r="I161" s="10" t="s">
        <v>19</v>
      </c>
      <c r="J161" s="10" t="s">
        <v>27</v>
      </c>
      <c r="K161" s="10" t="str">
        <f ca="1">DATEDIF('DATA PENDUDUK'!$G161,TODAY(),"Y")&amp; " TAHUN"</f>
        <v>58 TAHUN</v>
      </c>
      <c r="L161" s="12" t="s">
        <v>21</v>
      </c>
    </row>
    <row r="162" spans="1:12" ht="20.100000000000001" customHeight="1" x14ac:dyDescent="0.25">
      <c r="A162" s="8">
        <f t="shared" si="2"/>
        <v>159</v>
      </c>
      <c r="B162" s="9" t="s">
        <v>428</v>
      </c>
      <c r="C162" s="9" t="s">
        <v>433</v>
      </c>
      <c r="D162" s="10" t="s">
        <v>434</v>
      </c>
      <c r="E162" s="10" t="s">
        <v>16</v>
      </c>
      <c r="F162" s="10" t="s">
        <v>30</v>
      </c>
      <c r="G162" s="11">
        <v>37742</v>
      </c>
      <c r="H162" s="10" t="s">
        <v>35</v>
      </c>
      <c r="I162" s="10" t="s">
        <v>40</v>
      </c>
      <c r="J162" s="10" t="s">
        <v>32</v>
      </c>
      <c r="K162" s="10" t="str">
        <f ca="1">DATEDIF('DATA PENDUDUK'!$G162,TODAY(),"Y")&amp; " TAHUN"</f>
        <v>22 TAHUN</v>
      </c>
      <c r="L162" s="12" t="s">
        <v>21</v>
      </c>
    </row>
    <row r="163" spans="1:12" ht="20.100000000000001" customHeight="1" x14ac:dyDescent="0.25">
      <c r="A163" s="8">
        <f t="shared" si="2"/>
        <v>160</v>
      </c>
      <c r="B163" s="9" t="s">
        <v>435</v>
      </c>
      <c r="C163" s="9" t="s">
        <v>436</v>
      </c>
      <c r="D163" s="10" t="s">
        <v>437</v>
      </c>
      <c r="E163" s="10" t="s">
        <v>24</v>
      </c>
      <c r="F163" s="10" t="s">
        <v>87</v>
      </c>
      <c r="G163" s="11">
        <v>26431</v>
      </c>
      <c r="H163" s="10" t="s">
        <v>438</v>
      </c>
      <c r="I163" s="10" t="s">
        <v>40</v>
      </c>
      <c r="J163" s="10" t="s">
        <v>20</v>
      </c>
      <c r="K163" s="10" t="str">
        <f ca="1">DATEDIF('DATA PENDUDUK'!$G163,TODAY(),"Y")&amp; " TAHUN"</f>
        <v>53 TAHUN</v>
      </c>
      <c r="L163" s="12" t="s">
        <v>21</v>
      </c>
    </row>
    <row r="164" spans="1:12" ht="20.100000000000001" customHeight="1" x14ac:dyDescent="0.25">
      <c r="A164" s="8">
        <f t="shared" si="2"/>
        <v>161</v>
      </c>
      <c r="B164" s="9" t="s">
        <v>435</v>
      </c>
      <c r="C164" s="9" t="s">
        <v>439</v>
      </c>
      <c r="D164" s="10" t="s">
        <v>440</v>
      </c>
      <c r="E164" s="10" t="s">
        <v>24</v>
      </c>
      <c r="F164" s="10" t="s">
        <v>30</v>
      </c>
      <c r="G164" s="11">
        <v>39568</v>
      </c>
      <c r="H164" s="10" t="s">
        <v>438</v>
      </c>
      <c r="I164" s="10" t="s">
        <v>31</v>
      </c>
      <c r="J164" s="10" t="s">
        <v>32</v>
      </c>
      <c r="K164" s="10" t="str">
        <f ca="1">DATEDIF('DATA PENDUDUK'!$G164,TODAY(),"Y")&amp; " TAHUN"</f>
        <v>17 TAHUN</v>
      </c>
      <c r="L164" s="12" t="s">
        <v>21</v>
      </c>
    </row>
    <row r="165" spans="1:12" ht="20.100000000000001" customHeight="1" x14ac:dyDescent="0.25">
      <c r="A165" s="8">
        <f t="shared" si="2"/>
        <v>162</v>
      </c>
      <c r="B165" s="9" t="s">
        <v>441</v>
      </c>
      <c r="C165" s="9" t="s">
        <v>442</v>
      </c>
      <c r="D165" s="10" t="s">
        <v>443</v>
      </c>
      <c r="E165" s="10" t="s">
        <v>16</v>
      </c>
      <c r="F165" s="10" t="s">
        <v>444</v>
      </c>
      <c r="G165" s="11">
        <v>23102</v>
      </c>
      <c r="H165" s="10" t="s">
        <v>35</v>
      </c>
      <c r="I165" s="10" t="s">
        <v>19</v>
      </c>
      <c r="J165" s="10" t="s">
        <v>20</v>
      </c>
      <c r="K165" s="10" t="str">
        <f ca="1">DATEDIF('DATA PENDUDUK'!$G165,TODAY(),"Y")&amp; " TAHUN"</f>
        <v>62 TAHUN</v>
      </c>
      <c r="L165" s="12" t="s">
        <v>21</v>
      </c>
    </row>
    <row r="166" spans="1:12" ht="20.100000000000001" customHeight="1" x14ac:dyDescent="0.25">
      <c r="A166" s="8">
        <f t="shared" si="2"/>
        <v>163</v>
      </c>
      <c r="B166" s="9" t="s">
        <v>445</v>
      </c>
      <c r="C166" s="9" t="s">
        <v>446</v>
      </c>
      <c r="D166" s="10" t="s">
        <v>447</v>
      </c>
      <c r="E166" s="10" t="s">
        <v>16</v>
      </c>
      <c r="F166" s="10" t="s">
        <v>118</v>
      </c>
      <c r="G166" s="11">
        <v>23749</v>
      </c>
      <c r="H166" s="10" t="s">
        <v>35</v>
      </c>
      <c r="I166" s="10" t="s">
        <v>19</v>
      </c>
      <c r="J166" s="10" t="s">
        <v>20</v>
      </c>
      <c r="K166" s="10" t="str">
        <f ca="1">DATEDIF('DATA PENDUDUK'!$G166,TODAY(),"Y")&amp; " TAHUN"</f>
        <v>60 TAHUN</v>
      </c>
      <c r="L166" s="12" t="s">
        <v>21</v>
      </c>
    </row>
    <row r="167" spans="1:12" ht="20.100000000000001" customHeight="1" x14ac:dyDescent="0.25">
      <c r="A167" s="8">
        <f t="shared" si="2"/>
        <v>164</v>
      </c>
      <c r="B167" s="9" t="s">
        <v>445</v>
      </c>
      <c r="C167" s="9" t="s">
        <v>448</v>
      </c>
      <c r="D167" s="10" t="s">
        <v>449</v>
      </c>
      <c r="E167" s="10" t="s">
        <v>24</v>
      </c>
      <c r="F167" s="10" t="s">
        <v>450</v>
      </c>
      <c r="G167" s="11">
        <v>28688</v>
      </c>
      <c r="H167" s="10" t="s">
        <v>35</v>
      </c>
      <c r="I167" s="10" t="s">
        <v>26</v>
      </c>
      <c r="J167" s="10" t="s">
        <v>27</v>
      </c>
      <c r="K167" s="10" t="str">
        <f ca="1">DATEDIF('DATA PENDUDUK'!$G167,TODAY(),"Y")&amp; " TAHUN"</f>
        <v>47 TAHUN</v>
      </c>
      <c r="L167" s="12" t="s">
        <v>21</v>
      </c>
    </row>
    <row r="168" spans="1:12" ht="20.100000000000001" customHeight="1" x14ac:dyDescent="0.25">
      <c r="A168" s="8">
        <f t="shared" si="2"/>
        <v>165</v>
      </c>
      <c r="B168" s="9" t="s">
        <v>445</v>
      </c>
      <c r="C168" s="9" t="s">
        <v>451</v>
      </c>
      <c r="D168" s="10" t="s">
        <v>452</v>
      </c>
      <c r="E168" s="10" t="s">
        <v>24</v>
      </c>
      <c r="F168" s="10" t="s">
        <v>30</v>
      </c>
      <c r="G168" s="11">
        <v>37237</v>
      </c>
      <c r="H168" s="10" t="s">
        <v>35</v>
      </c>
      <c r="I168" s="10" t="s">
        <v>40</v>
      </c>
      <c r="J168" s="10" t="s">
        <v>32</v>
      </c>
      <c r="K168" s="10" t="str">
        <f ca="1">DATEDIF('DATA PENDUDUK'!$G168,TODAY(),"Y")&amp; " TAHUN"</f>
        <v>23 TAHUN</v>
      </c>
      <c r="L168" s="12" t="s">
        <v>21</v>
      </c>
    </row>
    <row r="169" spans="1:12" ht="20.100000000000001" customHeight="1" x14ac:dyDescent="0.25">
      <c r="A169" s="8">
        <f t="shared" si="2"/>
        <v>166</v>
      </c>
      <c r="B169" s="9" t="s">
        <v>445</v>
      </c>
      <c r="C169" s="9" t="s">
        <v>453</v>
      </c>
      <c r="D169" s="10" t="s">
        <v>454</v>
      </c>
      <c r="E169" s="10" t="s">
        <v>16</v>
      </c>
      <c r="F169" s="10" t="s">
        <v>30</v>
      </c>
      <c r="G169" s="11">
        <v>44216</v>
      </c>
      <c r="H169" s="10" t="s">
        <v>35</v>
      </c>
      <c r="I169" s="10" t="s">
        <v>40</v>
      </c>
      <c r="J169" s="10" t="s">
        <v>32</v>
      </c>
      <c r="K169" s="10" t="str">
        <f ca="1">DATEDIF('DATA PENDUDUK'!$G169,TODAY(),"Y")&amp; " TAHUN"</f>
        <v>4 TAHUN</v>
      </c>
      <c r="L169" s="12" t="s">
        <v>21</v>
      </c>
    </row>
    <row r="170" spans="1:12" ht="20.100000000000001" customHeight="1" x14ac:dyDescent="0.25">
      <c r="A170" s="8">
        <f t="shared" si="2"/>
        <v>167</v>
      </c>
      <c r="B170" s="9" t="s">
        <v>445</v>
      </c>
      <c r="C170" s="9" t="s">
        <v>455</v>
      </c>
      <c r="D170" s="10" t="s">
        <v>456</v>
      </c>
      <c r="E170" s="10" t="s">
        <v>16</v>
      </c>
      <c r="F170" s="10" t="s">
        <v>30</v>
      </c>
      <c r="G170" s="11">
        <v>44216</v>
      </c>
      <c r="H170" s="10" t="s">
        <v>35</v>
      </c>
      <c r="I170" s="10" t="s">
        <v>40</v>
      </c>
      <c r="J170" s="10" t="s">
        <v>32</v>
      </c>
      <c r="K170" s="10" t="str">
        <f ca="1">DATEDIF('DATA PENDUDUK'!$G170,TODAY(),"Y")&amp; " TAHUN"</f>
        <v>4 TAHUN</v>
      </c>
      <c r="L170" s="12" t="s">
        <v>21</v>
      </c>
    </row>
    <row r="171" spans="1:12" ht="20.100000000000001" customHeight="1" x14ac:dyDescent="0.25">
      <c r="A171" s="8">
        <f t="shared" si="2"/>
        <v>168</v>
      </c>
      <c r="B171" s="9" t="s">
        <v>457</v>
      </c>
      <c r="C171" s="9" t="s">
        <v>458</v>
      </c>
      <c r="D171" s="10" t="s">
        <v>459</v>
      </c>
      <c r="E171" s="10" t="s">
        <v>16</v>
      </c>
      <c r="F171" s="10" t="s">
        <v>238</v>
      </c>
      <c r="G171" s="11">
        <v>27348</v>
      </c>
      <c r="H171" s="10" t="s">
        <v>35</v>
      </c>
      <c r="I171" s="10" t="s">
        <v>19</v>
      </c>
      <c r="J171" s="10" t="s">
        <v>20</v>
      </c>
      <c r="K171" s="10" t="str">
        <f ca="1">DATEDIF('DATA PENDUDUK'!$G171,TODAY(),"Y")&amp; " TAHUN"</f>
        <v>50 TAHUN</v>
      </c>
      <c r="L171" s="12" t="s">
        <v>21</v>
      </c>
    </row>
    <row r="172" spans="1:12" ht="20.100000000000001" customHeight="1" x14ac:dyDescent="0.25">
      <c r="A172" s="8">
        <f t="shared" si="2"/>
        <v>169</v>
      </c>
      <c r="B172" s="9" t="s">
        <v>457</v>
      </c>
      <c r="C172" s="9" t="s">
        <v>460</v>
      </c>
      <c r="D172" s="10" t="s">
        <v>461</v>
      </c>
      <c r="E172" s="10" t="s">
        <v>24</v>
      </c>
      <c r="F172" s="10" t="s">
        <v>268</v>
      </c>
      <c r="G172" s="11">
        <v>24755</v>
      </c>
      <c r="H172" s="10" t="s">
        <v>35</v>
      </c>
      <c r="I172" s="10" t="s">
        <v>19</v>
      </c>
      <c r="J172" s="10" t="s">
        <v>27</v>
      </c>
      <c r="K172" s="10" t="str">
        <f ca="1">DATEDIF('DATA PENDUDUK'!$G172,TODAY(),"Y")&amp; " TAHUN"</f>
        <v>57 TAHUN</v>
      </c>
      <c r="L172" s="12" t="s">
        <v>21</v>
      </c>
    </row>
    <row r="173" spans="1:12" ht="20.100000000000001" customHeight="1" x14ac:dyDescent="0.25">
      <c r="A173" s="8">
        <f t="shared" si="2"/>
        <v>170</v>
      </c>
      <c r="B173" s="9" t="s">
        <v>457</v>
      </c>
      <c r="C173" s="9" t="s">
        <v>462</v>
      </c>
      <c r="D173" s="10" t="s">
        <v>463</v>
      </c>
      <c r="E173" s="10" t="s">
        <v>16</v>
      </c>
      <c r="F173" s="10" t="s">
        <v>30</v>
      </c>
      <c r="G173" s="11">
        <v>41254</v>
      </c>
      <c r="H173" s="10" t="s">
        <v>35</v>
      </c>
      <c r="I173" s="10" t="s">
        <v>31</v>
      </c>
      <c r="J173" s="10" t="s">
        <v>32</v>
      </c>
      <c r="K173" s="10" t="str">
        <f ca="1">DATEDIF('DATA PENDUDUK'!$G173,TODAY(),"Y")&amp; " TAHUN"</f>
        <v>12 TAHUN</v>
      </c>
      <c r="L173" s="12" t="s">
        <v>21</v>
      </c>
    </row>
    <row r="174" spans="1:12" ht="20.100000000000001" customHeight="1" x14ac:dyDescent="0.25">
      <c r="A174" s="8">
        <f t="shared" si="2"/>
        <v>171</v>
      </c>
      <c r="B174" s="9" t="s">
        <v>464</v>
      </c>
      <c r="C174" s="9" t="s">
        <v>465</v>
      </c>
      <c r="D174" s="10" t="s">
        <v>466</v>
      </c>
      <c r="E174" s="10" t="s">
        <v>24</v>
      </c>
      <c r="F174" s="10" t="s">
        <v>46</v>
      </c>
      <c r="G174" s="11">
        <v>30905</v>
      </c>
      <c r="H174" s="10" t="s">
        <v>35</v>
      </c>
      <c r="I174" s="10" t="s">
        <v>19</v>
      </c>
      <c r="J174" s="10" t="s">
        <v>20</v>
      </c>
      <c r="K174" s="10" t="str">
        <f ca="1">DATEDIF('DATA PENDUDUK'!$G174,TODAY(),"Y")&amp; " TAHUN"</f>
        <v>40 TAHUN</v>
      </c>
      <c r="L174" s="12" t="s">
        <v>21</v>
      </c>
    </row>
    <row r="175" spans="1:12" ht="20.100000000000001" customHeight="1" x14ac:dyDescent="0.25">
      <c r="A175" s="8">
        <f t="shared" si="2"/>
        <v>172</v>
      </c>
      <c r="B175" s="9" t="s">
        <v>467</v>
      </c>
      <c r="C175" s="9" t="s">
        <v>468</v>
      </c>
      <c r="D175" s="10" t="s">
        <v>469</v>
      </c>
      <c r="E175" s="10" t="s">
        <v>16</v>
      </c>
      <c r="F175" s="10" t="s">
        <v>470</v>
      </c>
      <c r="G175" s="11">
        <v>26710</v>
      </c>
      <c r="H175" s="10" t="s">
        <v>471</v>
      </c>
      <c r="I175" s="10" t="s">
        <v>94</v>
      </c>
      <c r="J175" s="10" t="s">
        <v>20</v>
      </c>
      <c r="K175" s="10" t="str">
        <f ca="1">DATEDIF('DATA PENDUDUK'!$G175,TODAY(),"Y")&amp; " TAHUN"</f>
        <v>52 TAHUN</v>
      </c>
      <c r="L175" s="12" t="s">
        <v>21</v>
      </c>
    </row>
    <row r="176" spans="1:12" ht="20.100000000000001" customHeight="1" x14ac:dyDescent="0.25">
      <c r="A176" s="8">
        <f t="shared" si="2"/>
        <v>173</v>
      </c>
      <c r="B176" s="9" t="s">
        <v>467</v>
      </c>
      <c r="C176" s="9" t="s">
        <v>472</v>
      </c>
      <c r="D176" s="10" t="s">
        <v>473</v>
      </c>
      <c r="E176" s="10" t="s">
        <v>24</v>
      </c>
      <c r="F176" s="10" t="s">
        <v>87</v>
      </c>
      <c r="G176" s="11">
        <v>29164</v>
      </c>
      <c r="H176" s="10" t="s">
        <v>471</v>
      </c>
      <c r="I176" s="10" t="s">
        <v>150</v>
      </c>
      <c r="J176" s="10" t="s">
        <v>27</v>
      </c>
      <c r="K176" s="10" t="str">
        <f ca="1">DATEDIF('DATA PENDUDUK'!$G176,TODAY(),"Y")&amp; " TAHUN"</f>
        <v>45 TAHUN</v>
      </c>
      <c r="L176" s="12" t="s">
        <v>21</v>
      </c>
    </row>
    <row r="177" spans="1:12" ht="20.100000000000001" customHeight="1" x14ac:dyDescent="0.25">
      <c r="A177" s="8">
        <f t="shared" si="2"/>
        <v>174</v>
      </c>
      <c r="B177" s="9" t="s">
        <v>467</v>
      </c>
      <c r="C177" s="9" t="s">
        <v>474</v>
      </c>
      <c r="D177" s="10" t="s">
        <v>475</v>
      </c>
      <c r="E177" s="10" t="s">
        <v>24</v>
      </c>
      <c r="F177" s="10" t="s">
        <v>476</v>
      </c>
      <c r="G177" s="11">
        <v>37684</v>
      </c>
      <c r="H177" s="10" t="s">
        <v>471</v>
      </c>
      <c r="I177" s="10" t="s">
        <v>40</v>
      </c>
      <c r="J177" s="10" t="s">
        <v>32</v>
      </c>
      <c r="K177" s="10" t="str">
        <f ca="1">DATEDIF('DATA PENDUDUK'!$G177,TODAY(),"Y")&amp; " TAHUN"</f>
        <v>22 TAHUN</v>
      </c>
      <c r="L177" s="12" t="s">
        <v>21</v>
      </c>
    </row>
    <row r="178" spans="1:12" ht="20.100000000000001" customHeight="1" x14ac:dyDescent="0.25">
      <c r="A178" s="8">
        <f t="shared" si="2"/>
        <v>175</v>
      </c>
      <c r="B178" s="9" t="s">
        <v>467</v>
      </c>
      <c r="C178" s="9" t="s">
        <v>477</v>
      </c>
      <c r="D178" s="10" t="s">
        <v>478</v>
      </c>
      <c r="E178" s="10" t="s">
        <v>16</v>
      </c>
      <c r="F178" s="10" t="s">
        <v>30</v>
      </c>
      <c r="G178" s="11">
        <v>39611</v>
      </c>
      <c r="H178" s="10" t="s">
        <v>471</v>
      </c>
      <c r="I178" s="10" t="s">
        <v>31</v>
      </c>
      <c r="J178" s="10" t="s">
        <v>32</v>
      </c>
      <c r="K178" s="10" t="str">
        <f ca="1">DATEDIF('DATA PENDUDUK'!$G178,TODAY(),"Y")&amp; " TAHUN"</f>
        <v>17 TAHUN</v>
      </c>
      <c r="L178" s="12" t="s">
        <v>21</v>
      </c>
    </row>
    <row r="179" spans="1:12" ht="20.100000000000001" customHeight="1" x14ac:dyDescent="0.25">
      <c r="A179" s="8">
        <f t="shared" si="2"/>
        <v>176</v>
      </c>
      <c r="B179" s="9" t="s">
        <v>467</v>
      </c>
      <c r="C179" s="9" t="s">
        <v>479</v>
      </c>
      <c r="D179" s="10" t="s">
        <v>480</v>
      </c>
      <c r="E179" s="10" t="s">
        <v>24</v>
      </c>
      <c r="F179" s="10" t="s">
        <v>30</v>
      </c>
      <c r="G179" s="11">
        <v>39822</v>
      </c>
      <c r="H179" s="10" t="s">
        <v>471</v>
      </c>
      <c r="I179" s="10" t="s">
        <v>31</v>
      </c>
      <c r="J179" s="10" t="s">
        <v>32</v>
      </c>
      <c r="K179" s="10" t="str">
        <f ca="1">DATEDIF('DATA PENDUDUK'!$G179,TODAY(),"Y")&amp; " TAHUN"</f>
        <v>16 TAHUN</v>
      </c>
      <c r="L179" s="12" t="s">
        <v>21</v>
      </c>
    </row>
    <row r="180" spans="1:12" ht="20.100000000000001" customHeight="1" x14ac:dyDescent="0.25">
      <c r="A180" s="8">
        <f t="shared" si="2"/>
        <v>177</v>
      </c>
      <c r="B180" s="9" t="s">
        <v>467</v>
      </c>
      <c r="C180" s="9" t="s">
        <v>481</v>
      </c>
      <c r="D180" s="10" t="s">
        <v>482</v>
      </c>
      <c r="E180" s="10" t="s">
        <v>24</v>
      </c>
      <c r="F180" s="10" t="s">
        <v>30</v>
      </c>
      <c r="G180" s="11">
        <v>40744</v>
      </c>
      <c r="H180" s="10" t="s">
        <v>471</v>
      </c>
      <c r="I180" s="10" t="s">
        <v>31</v>
      </c>
      <c r="J180" s="10" t="s">
        <v>32</v>
      </c>
      <c r="K180" s="10" t="str">
        <f ca="1">DATEDIF('DATA PENDUDUK'!$G180,TODAY(),"Y")&amp; " TAHUN"</f>
        <v>14 TAHUN</v>
      </c>
      <c r="L180" s="12" t="s">
        <v>21</v>
      </c>
    </row>
    <row r="181" spans="1:12" ht="20.100000000000001" customHeight="1" x14ac:dyDescent="0.25">
      <c r="A181" s="8">
        <f t="shared" si="2"/>
        <v>178</v>
      </c>
      <c r="B181" s="9" t="s">
        <v>483</v>
      </c>
      <c r="C181" s="9" t="s">
        <v>484</v>
      </c>
      <c r="D181" s="10" t="s">
        <v>485</v>
      </c>
      <c r="E181" s="10" t="s">
        <v>16</v>
      </c>
      <c r="F181" s="10" t="s">
        <v>46</v>
      </c>
      <c r="G181" s="11">
        <v>20882</v>
      </c>
      <c r="H181" s="10" t="s">
        <v>35</v>
      </c>
      <c r="I181" s="10" t="s">
        <v>19</v>
      </c>
      <c r="J181" s="10" t="s">
        <v>20</v>
      </c>
      <c r="K181" s="10" t="str">
        <f ca="1">DATEDIF('DATA PENDUDUK'!$G181,TODAY(),"Y")&amp; " TAHUN"</f>
        <v>68 TAHUN</v>
      </c>
      <c r="L181" s="12" t="s">
        <v>21</v>
      </c>
    </row>
    <row r="182" spans="1:12" ht="20.100000000000001" customHeight="1" x14ac:dyDescent="0.25">
      <c r="A182" s="8">
        <f t="shared" si="2"/>
        <v>179</v>
      </c>
      <c r="B182" s="9" t="s">
        <v>483</v>
      </c>
      <c r="C182" s="9" t="s">
        <v>486</v>
      </c>
      <c r="D182" s="10" t="s">
        <v>487</v>
      </c>
      <c r="E182" s="10" t="s">
        <v>24</v>
      </c>
      <c r="F182" s="10" t="s">
        <v>46</v>
      </c>
      <c r="G182" s="11">
        <v>20666</v>
      </c>
      <c r="H182" s="10" t="s">
        <v>35</v>
      </c>
      <c r="I182" s="10" t="s">
        <v>19</v>
      </c>
      <c r="J182" s="10" t="s">
        <v>27</v>
      </c>
      <c r="K182" s="10" t="str">
        <f ca="1">DATEDIF('DATA PENDUDUK'!$G182,TODAY(),"Y")&amp; " TAHUN"</f>
        <v>68 TAHUN</v>
      </c>
      <c r="L182" s="12" t="s">
        <v>21</v>
      </c>
    </row>
    <row r="183" spans="1:12" ht="20.100000000000001" customHeight="1" x14ac:dyDescent="0.25">
      <c r="A183" s="8">
        <f t="shared" si="2"/>
        <v>180</v>
      </c>
      <c r="B183" s="9" t="s">
        <v>483</v>
      </c>
      <c r="C183" s="9" t="s">
        <v>488</v>
      </c>
      <c r="D183" s="10" t="s">
        <v>489</v>
      </c>
      <c r="E183" s="10" t="s">
        <v>16</v>
      </c>
      <c r="F183" s="10" t="s">
        <v>46</v>
      </c>
      <c r="G183" s="11">
        <v>31623</v>
      </c>
      <c r="H183" s="10" t="s">
        <v>35</v>
      </c>
      <c r="I183" s="10" t="s">
        <v>19</v>
      </c>
      <c r="J183" s="10" t="s">
        <v>32</v>
      </c>
      <c r="K183" s="10" t="str">
        <f ca="1">DATEDIF('DATA PENDUDUK'!$G183,TODAY(),"Y")&amp; " TAHUN"</f>
        <v>38 TAHUN</v>
      </c>
      <c r="L183" s="12" t="s">
        <v>21</v>
      </c>
    </row>
    <row r="184" spans="1:12" ht="20.100000000000001" customHeight="1" x14ac:dyDescent="0.25">
      <c r="A184" s="8">
        <f t="shared" si="2"/>
        <v>181</v>
      </c>
      <c r="B184" s="9" t="s">
        <v>483</v>
      </c>
      <c r="C184" s="9" t="s">
        <v>490</v>
      </c>
      <c r="D184" s="10" t="s">
        <v>491</v>
      </c>
      <c r="E184" s="10" t="s">
        <v>24</v>
      </c>
      <c r="F184" s="10" t="s">
        <v>46</v>
      </c>
      <c r="G184" s="11">
        <v>21899</v>
      </c>
      <c r="H184" s="10" t="s">
        <v>35</v>
      </c>
      <c r="I184" s="10" t="s">
        <v>19</v>
      </c>
      <c r="J184" s="10" t="s">
        <v>37</v>
      </c>
      <c r="K184" s="10" t="str">
        <f ca="1">DATEDIF('DATA PENDUDUK'!$G184,TODAY(),"Y")&amp; " TAHUN"</f>
        <v>65 TAHUN</v>
      </c>
      <c r="L184" s="12" t="s">
        <v>21</v>
      </c>
    </row>
    <row r="185" spans="1:12" ht="20.100000000000001" customHeight="1" x14ac:dyDescent="0.25">
      <c r="A185" s="8">
        <f t="shared" si="2"/>
        <v>182</v>
      </c>
      <c r="B185" s="9" t="s">
        <v>492</v>
      </c>
      <c r="C185" s="9" t="s">
        <v>493</v>
      </c>
      <c r="D185" s="10" t="s">
        <v>494</v>
      </c>
      <c r="E185" s="10" t="s">
        <v>16</v>
      </c>
      <c r="F185" s="10" t="s">
        <v>495</v>
      </c>
      <c r="G185" s="11">
        <v>24773</v>
      </c>
      <c r="H185" s="10" t="s">
        <v>35</v>
      </c>
      <c r="I185" s="10" t="s">
        <v>19</v>
      </c>
      <c r="J185" s="10" t="s">
        <v>20</v>
      </c>
      <c r="K185" s="10" t="str">
        <f ca="1">DATEDIF('DATA PENDUDUK'!$G185,TODAY(),"Y")&amp; " TAHUN"</f>
        <v>57 TAHUN</v>
      </c>
      <c r="L185" s="12" t="s">
        <v>21</v>
      </c>
    </row>
    <row r="186" spans="1:12" ht="20.100000000000001" customHeight="1" x14ac:dyDescent="0.25">
      <c r="A186" s="8">
        <f t="shared" si="2"/>
        <v>183</v>
      </c>
      <c r="B186" s="9" t="s">
        <v>496</v>
      </c>
      <c r="C186" s="9" t="s">
        <v>497</v>
      </c>
      <c r="D186" s="10" t="s">
        <v>498</v>
      </c>
      <c r="E186" s="10" t="s">
        <v>16</v>
      </c>
      <c r="F186" s="10" t="s">
        <v>271</v>
      </c>
      <c r="G186" s="11">
        <v>27195</v>
      </c>
      <c r="H186" s="10" t="s">
        <v>35</v>
      </c>
      <c r="I186" s="10" t="s">
        <v>73</v>
      </c>
      <c r="J186" s="10" t="s">
        <v>20</v>
      </c>
      <c r="K186" s="10" t="str">
        <f ca="1">DATEDIF('DATA PENDUDUK'!$G186,TODAY(),"Y")&amp; " TAHUN"</f>
        <v>51 TAHUN</v>
      </c>
      <c r="L186" s="12" t="s">
        <v>21</v>
      </c>
    </row>
    <row r="187" spans="1:12" ht="20.100000000000001" customHeight="1" x14ac:dyDescent="0.25">
      <c r="A187" s="8">
        <f t="shared" si="2"/>
        <v>184</v>
      </c>
      <c r="B187" s="9" t="s">
        <v>496</v>
      </c>
      <c r="C187" s="9" t="s">
        <v>499</v>
      </c>
      <c r="D187" s="10" t="s">
        <v>500</v>
      </c>
      <c r="E187" s="10" t="s">
        <v>24</v>
      </c>
      <c r="F187" s="10" t="s">
        <v>501</v>
      </c>
      <c r="G187" s="11">
        <v>28022</v>
      </c>
      <c r="H187" s="10" t="s">
        <v>35</v>
      </c>
      <c r="I187" s="10" t="s">
        <v>40</v>
      </c>
      <c r="J187" s="10" t="s">
        <v>27</v>
      </c>
      <c r="K187" s="10" t="str">
        <f ca="1">DATEDIF('DATA PENDUDUK'!$G187,TODAY(),"Y")&amp; " TAHUN"</f>
        <v>48 TAHUN</v>
      </c>
      <c r="L187" s="12" t="s">
        <v>21</v>
      </c>
    </row>
    <row r="188" spans="1:12" ht="20.100000000000001" customHeight="1" x14ac:dyDescent="0.25">
      <c r="A188" s="8">
        <f t="shared" si="2"/>
        <v>185</v>
      </c>
      <c r="B188" s="9" t="s">
        <v>496</v>
      </c>
      <c r="C188" s="9" t="s">
        <v>502</v>
      </c>
      <c r="D188" s="10" t="s">
        <v>503</v>
      </c>
      <c r="E188" s="10" t="s">
        <v>24</v>
      </c>
      <c r="F188" s="10" t="s">
        <v>504</v>
      </c>
      <c r="G188" s="11">
        <v>36892</v>
      </c>
      <c r="H188" s="10" t="s">
        <v>35</v>
      </c>
      <c r="I188" s="10" t="s">
        <v>40</v>
      </c>
      <c r="J188" s="10" t="s">
        <v>32</v>
      </c>
      <c r="K188" s="10" t="str">
        <f ca="1">DATEDIF('DATA PENDUDUK'!$G188,TODAY(),"Y")&amp; " TAHUN"</f>
        <v>24 TAHUN</v>
      </c>
      <c r="L188" s="12" t="s">
        <v>21</v>
      </c>
    </row>
    <row r="189" spans="1:12" ht="20.100000000000001" customHeight="1" x14ac:dyDescent="0.25">
      <c r="A189" s="8">
        <f t="shared" si="2"/>
        <v>186</v>
      </c>
      <c r="B189" s="9" t="s">
        <v>496</v>
      </c>
      <c r="C189" s="9" t="s">
        <v>505</v>
      </c>
      <c r="D189" s="10" t="s">
        <v>506</v>
      </c>
      <c r="E189" s="10" t="s">
        <v>16</v>
      </c>
      <c r="F189" s="10" t="s">
        <v>30</v>
      </c>
      <c r="G189" s="11">
        <v>38112</v>
      </c>
      <c r="H189" s="10" t="s">
        <v>35</v>
      </c>
      <c r="I189" s="10" t="s">
        <v>40</v>
      </c>
      <c r="J189" s="10" t="s">
        <v>32</v>
      </c>
      <c r="K189" s="10" t="str">
        <f ca="1">DATEDIF('DATA PENDUDUK'!$G189,TODAY(),"Y")&amp; " TAHUN"</f>
        <v>21 TAHUN</v>
      </c>
      <c r="L189" s="12" t="s">
        <v>21</v>
      </c>
    </row>
    <row r="190" spans="1:12" ht="20.100000000000001" customHeight="1" x14ac:dyDescent="0.25">
      <c r="A190" s="8">
        <f t="shared" si="2"/>
        <v>187</v>
      </c>
      <c r="B190" s="9" t="s">
        <v>496</v>
      </c>
      <c r="C190" s="9" t="s">
        <v>507</v>
      </c>
      <c r="D190" s="10" t="s">
        <v>508</v>
      </c>
      <c r="E190" s="10" t="s">
        <v>24</v>
      </c>
      <c r="F190" s="10" t="s">
        <v>30</v>
      </c>
      <c r="G190" s="11">
        <v>42382</v>
      </c>
      <c r="H190" s="10" t="s">
        <v>35</v>
      </c>
      <c r="I190" s="10" t="s">
        <v>31</v>
      </c>
      <c r="J190" s="10" t="s">
        <v>32</v>
      </c>
      <c r="K190" s="10" t="str">
        <f ca="1">DATEDIF('DATA PENDUDUK'!$G190,TODAY(),"Y")&amp; " TAHUN"</f>
        <v>9 TAHUN</v>
      </c>
      <c r="L190" s="12" t="s">
        <v>21</v>
      </c>
    </row>
    <row r="191" spans="1:12" ht="20.100000000000001" customHeight="1" x14ac:dyDescent="0.25">
      <c r="A191" s="8">
        <f t="shared" si="2"/>
        <v>188</v>
      </c>
      <c r="B191" s="9" t="s">
        <v>509</v>
      </c>
      <c r="C191" s="9" t="s">
        <v>510</v>
      </c>
      <c r="D191" s="10" t="s">
        <v>511</v>
      </c>
      <c r="E191" s="10" t="s">
        <v>24</v>
      </c>
      <c r="F191" s="10" t="s">
        <v>87</v>
      </c>
      <c r="G191" s="11">
        <v>28118</v>
      </c>
      <c r="H191" s="10" t="s">
        <v>35</v>
      </c>
      <c r="I191" s="10" t="s">
        <v>19</v>
      </c>
      <c r="J191" s="10" t="s">
        <v>20</v>
      </c>
      <c r="K191" s="10" t="str">
        <f ca="1">DATEDIF('DATA PENDUDUK'!$G191,TODAY(),"Y")&amp; " TAHUN"</f>
        <v>48 TAHUN</v>
      </c>
      <c r="L191" s="12" t="s">
        <v>21</v>
      </c>
    </row>
    <row r="192" spans="1:12" ht="20.100000000000001" customHeight="1" x14ac:dyDescent="0.25">
      <c r="A192" s="8">
        <f t="shared" si="2"/>
        <v>189</v>
      </c>
      <c r="B192" s="9" t="s">
        <v>509</v>
      </c>
      <c r="C192" s="9" t="s">
        <v>512</v>
      </c>
      <c r="D192" s="10" t="s">
        <v>513</v>
      </c>
      <c r="E192" s="10" t="s">
        <v>24</v>
      </c>
      <c r="F192" s="10" t="s">
        <v>345</v>
      </c>
      <c r="G192" s="11">
        <v>25328</v>
      </c>
      <c r="H192" s="10" t="s">
        <v>35</v>
      </c>
      <c r="I192" s="10" t="s">
        <v>19</v>
      </c>
      <c r="J192" s="10" t="s">
        <v>37</v>
      </c>
      <c r="K192" s="10" t="str">
        <f ca="1">DATEDIF('DATA PENDUDUK'!$G192,TODAY(),"Y")&amp; " TAHUN"</f>
        <v>56 TAHUN</v>
      </c>
      <c r="L192" s="12" t="s">
        <v>21</v>
      </c>
    </row>
    <row r="193" spans="1:12" ht="20.100000000000001" customHeight="1" x14ac:dyDescent="0.25">
      <c r="A193" s="8">
        <f t="shared" si="2"/>
        <v>190</v>
      </c>
      <c r="B193" s="9" t="s">
        <v>509</v>
      </c>
      <c r="C193" s="9" t="s">
        <v>514</v>
      </c>
      <c r="D193" s="10" t="s">
        <v>515</v>
      </c>
      <c r="E193" s="10" t="s">
        <v>24</v>
      </c>
      <c r="F193" s="10" t="s">
        <v>87</v>
      </c>
      <c r="G193" s="11">
        <v>29077</v>
      </c>
      <c r="H193" s="10" t="s">
        <v>35</v>
      </c>
      <c r="I193" s="10" t="s">
        <v>19</v>
      </c>
      <c r="J193" s="10" t="s">
        <v>37</v>
      </c>
      <c r="K193" s="10" t="str">
        <f ca="1">DATEDIF('DATA PENDUDUK'!$G193,TODAY(),"Y")&amp; " TAHUN"</f>
        <v>45 TAHUN</v>
      </c>
      <c r="L193" s="12" t="s">
        <v>21</v>
      </c>
    </row>
    <row r="194" spans="1:12" ht="20.100000000000001" customHeight="1" x14ac:dyDescent="0.25">
      <c r="A194" s="8">
        <f t="shared" si="2"/>
        <v>191</v>
      </c>
      <c r="B194" s="9" t="s">
        <v>509</v>
      </c>
      <c r="C194" s="9" t="s">
        <v>516</v>
      </c>
      <c r="D194" s="10" t="s">
        <v>517</v>
      </c>
      <c r="E194" s="10" t="s">
        <v>24</v>
      </c>
      <c r="F194" s="10" t="s">
        <v>518</v>
      </c>
      <c r="G194" s="11">
        <v>29812</v>
      </c>
      <c r="H194" s="10" t="s">
        <v>35</v>
      </c>
      <c r="I194" s="10" t="s">
        <v>19</v>
      </c>
      <c r="J194" s="10" t="s">
        <v>37</v>
      </c>
      <c r="K194" s="10" t="str">
        <f ca="1">DATEDIF('DATA PENDUDUK'!$G194,TODAY(),"Y")&amp; " TAHUN"</f>
        <v>43 TAHUN</v>
      </c>
      <c r="L194" s="12" t="s">
        <v>21</v>
      </c>
    </row>
    <row r="195" spans="1:12" ht="20.100000000000001" customHeight="1" x14ac:dyDescent="0.25">
      <c r="A195" s="8">
        <f t="shared" si="2"/>
        <v>192</v>
      </c>
      <c r="B195" s="9" t="s">
        <v>509</v>
      </c>
      <c r="C195" s="9" t="s">
        <v>519</v>
      </c>
      <c r="D195" s="10" t="s">
        <v>520</v>
      </c>
      <c r="E195" s="10" t="s">
        <v>24</v>
      </c>
      <c r="F195" s="10" t="s">
        <v>521</v>
      </c>
      <c r="G195" s="11">
        <v>33182</v>
      </c>
      <c r="H195" s="10" t="s">
        <v>18</v>
      </c>
      <c r="I195" s="10" t="s">
        <v>19</v>
      </c>
      <c r="J195" s="10" t="s">
        <v>37</v>
      </c>
      <c r="K195" s="10" t="str">
        <f ca="1">DATEDIF('DATA PENDUDUK'!$G195,TODAY(),"Y")&amp; " TAHUN"</f>
        <v>34 TAHUN</v>
      </c>
      <c r="L195" s="12" t="s">
        <v>21</v>
      </c>
    </row>
    <row r="196" spans="1:12" ht="20.100000000000001" customHeight="1" x14ac:dyDescent="0.25">
      <c r="A196" s="8">
        <f t="shared" si="2"/>
        <v>193</v>
      </c>
      <c r="B196" s="9" t="s">
        <v>509</v>
      </c>
      <c r="C196" s="9" t="s">
        <v>522</v>
      </c>
      <c r="D196" s="10" t="s">
        <v>523</v>
      </c>
      <c r="E196" s="10" t="s">
        <v>16</v>
      </c>
      <c r="F196" s="10" t="s">
        <v>524</v>
      </c>
      <c r="G196" s="11">
        <v>33888</v>
      </c>
      <c r="H196" s="10" t="s">
        <v>438</v>
      </c>
      <c r="I196" s="10" t="s">
        <v>40</v>
      </c>
      <c r="J196" s="10" t="s">
        <v>37</v>
      </c>
      <c r="K196" s="10" t="str">
        <f ca="1">DATEDIF('DATA PENDUDUK'!$G196,TODAY(),"Y")&amp; " TAHUN"</f>
        <v>32 TAHUN</v>
      </c>
      <c r="L196" s="12" t="s">
        <v>21</v>
      </c>
    </row>
    <row r="197" spans="1:12" ht="20.100000000000001" customHeight="1" x14ac:dyDescent="0.25">
      <c r="A197" s="8">
        <f t="shared" si="2"/>
        <v>194</v>
      </c>
      <c r="B197" s="9" t="s">
        <v>525</v>
      </c>
      <c r="C197" s="9" t="s">
        <v>526</v>
      </c>
      <c r="D197" s="10" t="s">
        <v>527</v>
      </c>
      <c r="E197" s="10" t="s">
        <v>24</v>
      </c>
      <c r="F197" s="10" t="s">
        <v>189</v>
      </c>
      <c r="G197" s="11">
        <v>25034</v>
      </c>
      <c r="H197" s="10" t="s">
        <v>35</v>
      </c>
      <c r="I197" s="10" t="s">
        <v>19</v>
      </c>
      <c r="J197" s="10" t="s">
        <v>20</v>
      </c>
      <c r="K197" s="10" t="str">
        <f ca="1">DATEDIF('DATA PENDUDUK'!$G197,TODAY(),"Y")&amp; " TAHUN"</f>
        <v>57 TAHUN</v>
      </c>
      <c r="L197" s="12" t="s">
        <v>21</v>
      </c>
    </row>
    <row r="198" spans="1:12" ht="20.100000000000001" customHeight="1" x14ac:dyDescent="0.25">
      <c r="A198" s="8">
        <f t="shared" ref="A198:A261" si="3">IF(D198="","",ROW()-3)</f>
        <v>195</v>
      </c>
      <c r="B198" s="9" t="s">
        <v>525</v>
      </c>
      <c r="C198" s="9" t="s">
        <v>528</v>
      </c>
      <c r="D198" s="10" t="s">
        <v>529</v>
      </c>
      <c r="E198" s="10" t="s">
        <v>24</v>
      </c>
      <c r="F198" s="10" t="s">
        <v>189</v>
      </c>
      <c r="G198" s="11">
        <v>38474</v>
      </c>
      <c r="H198" s="10" t="s">
        <v>35</v>
      </c>
      <c r="I198" s="10" t="s">
        <v>40</v>
      </c>
      <c r="J198" s="10" t="s">
        <v>530</v>
      </c>
      <c r="K198" s="10" t="str">
        <f ca="1">DATEDIF('DATA PENDUDUK'!$G198,TODAY(),"Y")&amp; " TAHUN"</f>
        <v>20 TAHUN</v>
      </c>
      <c r="L198" s="12" t="s">
        <v>21</v>
      </c>
    </row>
    <row r="199" spans="1:12" ht="20.100000000000001" customHeight="1" x14ac:dyDescent="0.25">
      <c r="A199" s="8">
        <f t="shared" si="3"/>
        <v>196</v>
      </c>
      <c r="B199" s="9" t="s">
        <v>531</v>
      </c>
      <c r="C199" s="9" t="s">
        <v>532</v>
      </c>
      <c r="D199" s="10" t="s">
        <v>533</v>
      </c>
      <c r="E199" s="10" t="s">
        <v>24</v>
      </c>
      <c r="F199" s="10" t="s">
        <v>79</v>
      </c>
      <c r="G199" s="11">
        <v>21264</v>
      </c>
      <c r="H199" s="10" t="s">
        <v>35</v>
      </c>
      <c r="I199" s="10" t="s">
        <v>26</v>
      </c>
      <c r="J199" s="10" t="s">
        <v>20</v>
      </c>
      <c r="K199" s="10" t="str">
        <f ca="1">DATEDIF('DATA PENDUDUK'!$G199,TODAY(),"Y")&amp; " TAHUN"</f>
        <v>67 TAHUN</v>
      </c>
      <c r="L199" s="12" t="s">
        <v>21</v>
      </c>
    </row>
    <row r="200" spans="1:12" ht="20.100000000000001" customHeight="1" x14ac:dyDescent="0.25">
      <c r="A200" s="8">
        <f t="shared" si="3"/>
        <v>197</v>
      </c>
      <c r="B200" s="9" t="s">
        <v>531</v>
      </c>
      <c r="C200" s="9" t="s">
        <v>534</v>
      </c>
      <c r="D200" s="10" t="s">
        <v>535</v>
      </c>
      <c r="E200" s="10" t="s">
        <v>16</v>
      </c>
      <c r="F200" s="10" t="s">
        <v>158</v>
      </c>
      <c r="G200" s="11">
        <v>32760</v>
      </c>
      <c r="H200" s="10" t="s">
        <v>35</v>
      </c>
      <c r="I200" s="10" t="s">
        <v>19</v>
      </c>
      <c r="J200" s="10" t="s">
        <v>32</v>
      </c>
      <c r="K200" s="10" t="str">
        <f ca="1">DATEDIF('DATA PENDUDUK'!$G200,TODAY(),"Y")&amp; " TAHUN"</f>
        <v>35 TAHUN</v>
      </c>
      <c r="L200" s="12" t="s">
        <v>21</v>
      </c>
    </row>
    <row r="201" spans="1:12" ht="20.100000000000001" customHeight="1" x14ac:dyDescent="0.25">
      <c r="A201" s="8">
        <f t="shared" si="3"/>
        <v>198</v>
      </c>
      <c r="B201" s="9" t="s">
        <v>531</v>
      </c>
      <c r="C201" s="9" t="s">
        <v>536</v>
      </c>
      <c r="D201" s="10" t="s">
        <v>537</v>
      </c>
      <c r="E201" s="10" t="s">
        <v>16</v>
      </c>
      <c r="F201" s="10" t="s">
        <v>30</v>
      </c>
      <c r="G201" s="11">
        <v>37695</v>
      </c>
      <c r="H201" s="10" t="s">
        <v>35</v>
      </c>
      <c r="I201" s="10" t="s">
        <v>40</v>
      </c>
      <c r="J201" s="10" t="s">
        <v>32</v>
      </c>
      <c r="K201" s="10" t="str">
        <f ca="1">DATEDIF('DATA PENDUDUK'!$G201,TODAY(),"Y")&amp; " TAHUN"</f>
        <v>22 TAHUN</v>
      </c>
      <c r="L201" s="12" t="s">
        <v>21</v>
      </c>
    </row>
    <row r="202" spans="1:12" ht="20.100000000000001" customHeight="1" x14ac:dyDescent="0.25">
      <c r="A202" s="8">
        <f t="shared" si="3"/>
        <v>199</v>
      </c>
      <c r="B202" s="9" t="s">
        <v>538</v>
      </c>
      <c r="C202" s="9" t="s">
        <v>539</v>
      </c>
      <c r="D202" s="10" t="s">
        <v>540</v>
      </c>
      <c r="E202" s="10" t="s">
        <v>16</v>
      </c>
      <c r="F202" s="10" t="s">
        <v>541</v>
      </c>
      <c r="G202" s="11">
        <v>24232</v>
      </c>
      <c r="H202" s="10" t="s">
        <v>35</v>
      </c>
      <c r="I202" s="10" t="s">
        <v>542</v>
      </c>
      <c r="J202" s="10" t="s">
        <v>20</v>
      </c>
      <c r="K202" s="10" t="str">
        <f ca="1">DATEDIF('DATA PENDUDUK'!$G202,TODAY(),"Y")&amp; " TAHUN"</f>
        <v>59 TAHUN</v>
      </c>
      <c r="L202" s="12" t="s">
        <v>21</v>
      </c>
    </row>
    <row r="203" spans="1:12" ht="20.100000000000001" customHeight="1" x14ac:dyDescent="0.25">
      <c r="A203" s="8">
        <f t="shared" si="3"/>
        <v>200</v>
      </c>
      <c r="B203" s="9" t="s">
        <v>543</v>
      </c>
      <c r="C203" s="9" t="s">
        <v>544</v>
      </c>
      <c r="D203" s="10" t="s">
        <v>545</v>
      </c>
      <c r="E203" s="10" t="s">
        <v>16</v>
      </c>
      <c r="F203" s="10" t="s">
        <v>546</v>
      </c>
      <c r="G203" s="11">
        <v>27646</v>
      </c>
      <c r="H203" s="10" t="s">
        <v>35</v>
      </c>
      <c r="I203" s="10" t="s">
        <v>19</v>
      </c>
      <c r="J203" s="10" t="s">
        <v>20</v>
      </c>
      <c r="K203" s="10" t="str">
        <f ca="1">DATEDIF('DATA PENDUDUK'!$G203,TODAY(),"Y")&amp; " TAHUN"</f>
        <v>49 TAHUN</v>
      </c>
      <c r="L203" s="12" t="s">
        <v>21</v>
      </c>
    </row>
    <row r="204" spans="1:12" ht="20.100000000000001" customHeight="1" x14ac:dyDescent="0.25">
      <c r="A204" s="8">
        <f t="shared" si="3"/>
        <v>201</v>
      </c>
      <c r="B204" s="9" t="s">
        <v>543</v>
      </c>
      <c r="C204" s="9" t="s">
        <v>547</v>
      </c>
      <c r="D204" s="10" t="s">
        <v>548</v>
      </c>
      <c r="E204" s="10" t="s">
        <v>24</v>
      </c>
      <c r="F204" s="10" t="s">
        <v>143</v>
      </c>
      <c r="G204" s="11">
        <v>30336</v>
      </c>
      <c r="H204" s="10" t="s">
        <v>35</v>
      </c>
      <c r="I204" s="10" t="s">
        <v>40</v>
      </c>
      <c r="J204" s="10" t="s">
        <v>27</v>
      </c>
      <c r="K204" s="10" t="str">
        <f ca="1">DATEDIF('DATA PENDUDUK'!$G204,TODAY(),"Y")&amp; " TAHUN"</f>
        <v>42 TAHUN</v>
      </c>
      <c r="L204" s="12" t="s">
        <v>21</v>
      </c>
    </row>
    <row r="205" spans="1:12" ht="20.100000000000001" customHeight="1" x14ac:dyDescent="0.25">
      <c r="A205" s="8">
        <f t="shared" si="3"/>
        <v>202</v>
      </c>
      <c r="B205" s="9" t="s">
        <v>543</v>
      </c>
      <c r="C205" s="9" t="s">
        <v>549</v>
      </c>
      <c r="D205" s="10" t="s">
        <v>550</v>
      </c>
      <c r="E205" s="10" t="s">
        <v>16</v>
      </c>
      <c r="F205" s="10" t="s">
        <v>30</v>
      </c>
      <c r="G205" s="11">
        <v>38399</v>
      </c>
      <c r="H205" s="10" t="s">
        <v>35</v>
      </c>
      <c r="I205" s="10" t="s">
        <v>40</v>
      </c>
      <c r="J205" s="10" t="s">
        <v>32</v>
      </c>
      <c r="K205" s="10" t="str">
        <f ca="1">DATEDIF('DATA PENDUDUK'!$G205,TODAY(),"Y")&amp; " TAHUN"</f>
        <v>20 TAHUN</v>
      </c>
      <c r="L205" s="12" t="s">
        <v>21</v>
      </c>
    </row>
    <row r="206" spans="1:12" ht="20.100000000000001" customHeight="1" x14ac:dyDescent="0.25">
      <c r="A206" s="8">
        <f t="shared" si="3"/>
        <v>203</v>
      </c>
      <c r="B206" s="9" t="s">
        <v>543</v>
      </c>
      <c r="C206" s="9" t="s">
        <v>551</v>
      </c>
      <c r="D206" s="10" t="s">
        <v>552</v>
      </c>
      <c r="E206" s="10" t="s">
        <v>16</v>
      </c>
      <c r="F206" s="10" t="s">
        <v>143</v>
      </c>
      <c r="G206" s="11">
        <v>40991</v>
      </c>
      <c r="H206" s="10" t="s">
        <v>35</v>
      </c>
      <c r="I206" s="10" t="s">
        <v>31</v>
      </c>
      <c r="J206" s="10" t="s">
        <v>32</v>
      </c>
      <c r="K206" s="10" t="str">
        <f ca="1">DATEDIF('DATA PENDUDUK'!$G206,TODAY(),"Y")&amp; " TAHUN"</f>
        <v>13 TAHUN</v>
      </c>
      <c r="L206" s="12" t="s">
        <v>21</v>
      </c>
    </row>
    <row r="207" spans="1:12" ht="20.100000000000001" customHeight="1" x14ac:dyDescent="0.25">
      <c r="A207" s="8">
        <f t="shared" si="3"/>
        <v>204</v>
      </c>
      <c r="B207" s="9" t="s">
        <v>543</v>
      </c>
      <c r="C207" s="9" t="s">
        <v>553</v>
      </c>
      <c r="D207" s="10" t="s">
        <v>554</v>
      </c>
      <c r="E207" s="10" t="s">
        <v>16</v>
      </c>
      <c r="F207" s="10" t="s">
        <v>30</v>
      </c>
      <c r="G207" s="11">
        <v>43358</v>
      </c>
      <c r="H207" s="10" t="s">
        <v>35</v>
      </c>
      <c r="I207" s="10" t="s">
        <v>40</v>
      </c>
      <c r="J207" s="10" t="s">
        <v>32</v>
      </c>
      <c r="K207" s="10" t="str">
        <f ca="1">DATEDIF('DATA PENDUDUK'!$G207,TODAY(),"Y")&amp; " TAHUN"</f>
        <v>6 TAHUN</v>
      </c>
      <c r="L207" s="12" t="s">
        <v>21</v>
      </c>
    </row>
    <row r="208" spans="1:12" ht="20.100000000000001" customHeight="1" x14ac:dyDescent="0.25">
      <c r="A208" s="8">
        <f t="shared" si="3"/>
        <v>205</v>
      </c>
      <c r="B208" s="9" t="s">
        <v>555</v>
      </c>
      <c r="C208" s="9" t="s">
        <v>556</v>
      </c>
      <c r="D208" s="10" t="s">
        <v>557</v>
      </c>
      <c r="E208" s="10" t="s">
        <v>16</v>
      </c>
      <c r="F208" s="10" t="s">
        <v>546</v>
      </c>
      <c r="G208" s="11">
        <v>31950</v>
      </c>
      <c r="H208" s="10" t="s">
        <v>35</v>
      </c>
      <c r="I208" s="10" t="s">
        <v>19</v>
      </c>
      <c r="J208" s="10" t="s">
        <v>20</v>
      </c>
      <c r="K208" s="10" t="str">
        <f ca="1">DATEDIF('DATA PENDUDUK'!$G208,TODAY(),"Y")&amp; " TAHUN"</f>
        <v>38 TAHUN</v>
      </c>
      <c r="L208" s="12" t="s">
        <v>21</v>
      </c>
    </row>
    <row r="209" spans="1:12" ht="20.100000000000001" customHeight="1" x14ac:dyDescent="0.25">
      <c r="A209" s="8">
        <f t="shared" si="3"/>
        <v>206</v>
      </c>
      <c r="B209" s="9" t="s">
        <v>555</v>
      </c>
      <c r="C209" s="9" t="s">
        <v>558</v>
      </c>
      <c r="D209" s="10" t="s">
        <v>559</v>
      </c>
      <c r="E209" s="10" t="s">
        <v>24</v>
      </c>
      <c r="F209" s="10" t="s">
        <v>560</v>
      </c>
      <c r="G209" s="11">
        <v>35145</v>
      </c>
      <c r="H209" s="10" t="s">
        <v>35</v>
      </c>
      <c r="I209" s="10" t="s">
        <v>40</v>
      </c>
      <c r="J209" s="10" t="s">
        <v>27</v>
      </c>
      <c r="K209" s="10" t="str">
        <f ca="1">DATEDIF('DATA PENDUDUK'!$G209,TODAY(),"Y")&amp; " TAHUN"</f>
        <v>29 TAHUN</v>
      </c>
      <c r="L209" s="12" t="s">
        <v>21</v>
      </c>
    </row>
    <row r="210" spans="1:12" ht="20.100000000000001" customHeight="1" x14ac:dyDescent="0.25">
      <c r="A210" s="8">
        <f t="shared" si="3"/>
        <v>207</v>
      </c>
      <c r="B210" s="9" t="s">
        <v>555</v>
      </c>
      <c r="C210" s="9" t="s">
        <v>561</v>
      </c>
      <c r="D210" s="10" t="s">
        <v>562</v>
      </c>
      <c r="E210" s="10" t="s">
        <v>24</v>
      </c>
      <c r="F210" s="10" t="s">
        <v>30</v>
      </c>
      <c r="G210" s="11">
        <v>42833</v>
      </c>
      <c r="H210" s="10" t="s">
        <v>35</v>
      </c>
      <c r="I210" s="10" t="s">
        <v>31</v>
      </c>
      <c r="J210" s="10" t="s">
        <v>32</v>
      </c>
      <c r="K210" s="10" t="str">
        <f ca="1">DATEDIF('DATA PENDUDUK'!$G210,TODAY(),"Y")&amp; " TAHUN"</f>
        <v>8 TAHUN</v>
      </c>
      <c r="L210" s="12" t="s">
        <v>21</v>
      </c>
    </row>
    <row r="211" spans="1:12" ht="20.100000000000001" customHeight="1" x14ac:dyDescent="0.25">
      <c r="A211" s="8">
        <f t="shared" si="3"/>
        <v>208</v>
      </c>
      <c r="B211" s="9" t="s">
        <v>555</v>
      </c>
      <c r="C211" s="9" t="s">
        <v>563</v>
      </c>
      <c r="D211" s="10" t="s">
        <v>564</v>
      </c>
      <c r="E211" s="10" t="s">
        <v>16</v>
      </c>
      <c r="F211" s="10" t="s">
        <v>30</v>
      </c>
      <c r="G211" s="11">
        <v>43354</v>
      </c>
      <c r="H211" s="10" t="s">
        <v>35</v>
      </c>
      <c r="I211" s="10" t="s">
        <v>40</v>
      </c>
      <c r="J211" s="10" t="s">
        <v>32</v>
      </c>
      <c r="K211" s="10" t="str">
        <f ca="1">DATEDIF('DATA PENDUDUK'!$G211,TODAY(),"Y")&amp; " TAHUN"</f>
        <v>6 TAHUN</v>
      </c>
      <c r="L211" s="12" t="s">
        <v>21</v>
      </c>
    </row>
    <row r="212" spans="1:12" ht="20.100000000000001" customHeight="1" x14ac:dyDescent="0.25">
      <c r="A212" s="8">
        <f t="shared" si="3"/>
        <v>209</v>
      </c>
      <c r="B212" s="9" t="s">
        <v>565</v>
      </c>
      <c r="C212" s="9" t="s">
        <v>566</v>
      </c>
      <c r="D212" s="10" t="s">
        <v>567</v>
      </c>
      <c r="E212" s="10" t="s">
        <v>16</v>
      </c>
      <c r="F212" s="10" t="s">
        <v>143</v>
      </c>
      <c r="G212" s="11">
        <v>27374</v>
      </c>
      <c r="H212" s="10" t="s">
        <v>35</v>
      </c>
      <c r="I212" s="10" t="s">
        <v>19</v>
      </c>
      <c r="J212" s="10" t="s">
        <v>20</v>
      </c>
      <c r="K212" s="10" t="str">
        <f ca="1">DATEDIF('DATA PENDUDUK'!$G212,TODAY(),"Y")&amp; " TAHUN"</f>
        <v>50 TAHUN</v>
      </c>
      <c r="L212" s="12" t="s">
        <v>21</v>
      </c>
    </row>
    <row r="213" spans="1:12" ht="20.100000000000001" customHeight="1" x14ac:dyDescent="0.25">
      <c r="A213" s="8">
        <f t="shared" si="3"/>
        <v>210</v>
      </c>
      <c r="B213" s="9" t="s">
        <v>565</v>
      </c>
      <c r="C213" s="9" t="s">
        <v>568</v>
      </c>
      <c r="D213" s="10" t="s">
        <v>569</v>
      </c>
      <c r="E213" s="10" t="s">
        <v>24</v>
      </c>
      <c r="F213" s="10" t="s">
        <v>518</v>
      </c>
      <c r="G213" s="11">
        <v>30085</v>
      </c>
      <c r="H213" s="10" t="s">
        <v>35</v>
      </c>
      <c r="I213" s="10" t="s">
        <v>19</v>
      </c>
      <c r="J213" s="10" t="s">
        <v>27</v>
      </c>
      <c r="K213" s="10" t="str">
        <f ca="1">DATEDIF('DATA PENDUDUK'!$G213,TODAY(),"Y")&amp; " TAHUN"</f>
        <v>43 TAHUN</v>
      </c>
      <c r="L213" s="12" t="s">
        <v>21</v>
      </c>
    </row>
    <row r="214" spans="1:12" ht="20.100000000000001" customHeight="1" x14ac:dyDescent="0.25">
      <c r="A214" s="8">
        <f t="shared" si="3"/>
        <v>211</v>
      </c>
      <c r="B214" s="9" t="s">
        <v>565</v>
      </c>
      <c r="C214" s="9" t="s">
        <v>570</v>
      </c>
      <c r="D214" s="10" t="s">
        <v>571</v>
      </c>
      <c r="E214" s="10" t="s">
        <v>16</v>
      </c>
      <c r="F214" s="10" t="s">
        <v>30</v>
      </c>
      <c r="G214" s="11">
        <v>36558</v>
      </c>
      <c r="H214" s="10" t="s">
        <v>35</v>
      </c>
      <c r="I214" s="10" t="s">
        <v>19</v>
      </c>
      <c r="J214" s="10" t="s">
        <v>32</v>
      </c>
      <c r="K214" s="10" t="str">
        <f ca="1">DATEDIF('DATA PENDUDUK'!$G214,TODAY(),"Y")&amp; " TAHUN"</f>
        <v>25 TAHUN</v>
      </c>
      <c r="L214" s="12" t="s">
        <v>21</v>
      </c>
    </row>
    <row r="215" spans="1:12" ht="20.100000000000001" customHeight="1" x14ac:dyDescent="0.25">
      <c r="A215" s="8">
        <f t="shared" si="3"/>
        <v>212</v>
      </c>
      <c r="B215" s="9" t="s">
        <v>565</v>
      </c>
      <c r="C215" s="9" t="s">
        <v>572</v>
      </c>
      <c r="D215" s="10" t="s">
        <v>573</v>
      </c>
      <c r="E215" s="10" t="s">
        <v>16</v>
      </c>
      <c r="F215" s="10" t="s">
        <v>30</v>
      </c>
      <c r="G215" s="11">
        <v>38483</v>
      </c>
      <c r="H215" s="10" t="s">
        <v>35</v>
      </c>
      <c r="I215" s="10" t="s">
        <v>40</v>
      </c>
      <c r="J215" s="10" t="s">
        <v>32</v>
      </c>
      <c r="K215" s="10" t="str">
        <f ca="1">DATEDIF('DATA PENDUDUK'!$G215,TODAY(),"Y")&amp; " TAHUN"</f>
        <v>20 TAHUN</v>
      </c>
      <c r="L215" s="12" t="s">
        <v>21</v>
      </c>
    </row>
    <row r="216" spans="1:12" ht="20.100000000000001" customHeight="1" x14ac:dyDescent="0.25">
      <c r="A216" s="8">
        <f t="shared" si="3"/>
        <v>213</v>
      </c>
      <c r="B216" s="9" t="s">
        <v>565</v>
      </c>
      <c r="C216" s="9" t="s">
        <v>574</v>
      </c>
      <c r="D216" s="10" t="s">
        <v>575</v>
      </c>
      <c r="E216" s="10" t="s">
        <v>24</v>
      </c>
      <c r="F216" s="10" t="s">
        <v>30</v>
      </c>
      <c r="G216" s="11">
        <v>39602</v>
      </c>
      <c r="H216" s="10" t="s">
        <v>35</v>
      </c>
      <c r="I216" s="10" t="s">
        <v>31</v>
      </c>
      <c r="J216" s="10" t="s">
        <v>32</v>
      </c>
      <c r="K216" s="10" t="str">
        <f ca="1">DATEDIF('DATA PENDUDUK'!$G216,TODAY(),"Y")&amp; " TAHUN"</f>
        <v>17 TAHUN</v>
      </c>
      <c r="L216" s="12" t="s">
        <v>21</v>
      </c>
    </row>
    <row r="217" spans="1:12" ht="20.100000000000001" customHeight="1" x14ac:dyDescent="0.25">
      <c r="A217" s="8">
        <f t="shared" si="3"/>
        <v>214</v>
      </c>
      <c r="B217" s="9" t="s">
        <v>565</v>
      </c>
      <c r="C217" s="9" t="s">
        <v>576</v>
      </c>
      <c r="D217" s="10" t="s">
        <v>577</v>
      </c>
      <c r="E217" s="10" t="s">
        <v>24</v>
      </c>
      <c r="F217" s="10" t="s">
        <v>518</v>
      </c>
      <c r="G217" s="11">
        <v>32310</v>
      </c>
      <c r="H217" s="10" t="s">
        <v>35</v>
      </c>
      <c r="I217" s="10" t="s">
        <v>73</v>
      </c>
      <c r="J217" s="10" t="s">
        <v>37</v>
      </c>
      <c r="K217" s="10" t="str">
        <f ca="1">DATEDIF('DATA PENDUDUK'!$G217,TODAY(),"Y")&amp; " TAHUN"</f>
        <v>37 TAHUN</v>
      </c>
      <c r="L217" s="12" t="s">
        <v>21</v>
      </c>
    </row>
    <row r="218" spans="1:12" ht="20.100000000000001" customHeight="1" x14ac:dyDescent="0.25">
      <c r="A218" s="8">
        <f t="shared" si="3"/>
        <v>215</v>
      </c>
      <c r="B218" s="9" t="s">
        <v>578</v>
      </c>
      <c r="C218" s="9" t="s">
        <v>579</v>
      </c>
      <c r="D218" s="10" t="s">
        <v>580</v>
      </c>
      <c r="E218" s="10" t="s">
        <v>16</v>
      </c>
      <c r="F218" s="10" t="s">
        <v>290</v>
      </c>
      <c r="G218" s="11">
        <v>25385</v>
      </c>
      <c r="H218" s="10" t="s">
        <v>35</v>
      </c>
      <c r="I218" s="10" t="s">
        <v>19</v>
      </c>
      <c r="J218" s="10" t="s">
        <v>20</v>
      </c>
      <c r="K218" s="10" t="str">
        <f ca="1">DATEDIF('DATA PENDUDUK'!$G218,TODAY(),"Y")&amp; " TAHUN"</f>
        <v>56 TAHUN</v>
      </c>
      <c r="L218" s="12" t="s">
        <v>21</v>
      </c>
    </row>
    <row r="219" spans="1:12" ht="20.100000000000001" customHeight="1" x14ac:dyDescent="0.25">
      <c r="A219" s="8">
        <f t="shared" si="3"/>
        <v>216</v>
      </c>
      <c r="B219" s="9" t="s">
        <v>578</v>
      </c>
      <c r="C219" s="9" t="s">
        <v>581</v>
      </c>
      <c r="D219" s="10" t="s">
        <v>582</v>
      </c>
      <c r="E219" s="10" t="s">
        <v>24</v>
      </c>
      <c r="F219" s="10" t="s">
        <v>290</v>
      </c>
      <c r="G219" s="11">
        <v>26093</v>
      </c>
      <c r="H219" s="10" t="s">
        <v>35</v>
      </c>
      <c r="I219" s="10" t="s">
        <v>26</v>
      </c>
      <c r="J219" s="10" t="s">
        <v>27</v>
      </c>
      <c r="K219" s="10" t="str">
        <f ca="1">DATEDIF('DATA PENDUDUK'!$G219,TODAY(),"Y")&amp; " TAHUN"</f>
        <v>54 TAHUN</v>
      </c>
      <c r="L219" s="12" t="s">
        <v>21</v>
      </c>
    </row>
    <row r="220" spans="1:12" ht="20.100000000000001" customHeight="1" x14ac:dyDescent="0.25">
      <c r="A220" s="8">
        <f t="shared" si="3"/>
        <v>217</v>
      </c>
      <c r="B220" s="9" t="s">
        <v>578</v>
      </c>
      <c r="C220" s="9" t="s">
        <v>583</v>
      </c>
      <c r="D220" s="10" t="s">
        <v>584</v>
      </c>
      <c r="E220" s="10" t="s">
        <v>16</v>
      </c>
      <c r="F220" s="10" t="s">
        <v>290</v>
      </c>
      <c r="G220" s="11">
        <v>33972</v>
      </c>
      <c r="H220" s="10" t="s">
        <v>35</v>
      </c>
      <c r="I220" s="10" t="s">
        <v>40</v>
      </c>
      <c r="J220" s="10" t="s">
        <v>32</v>
      </c>
      <c r="K220" s="10" t="str">
        <f ca="1">DATEDIF('DATA PENDUDUK'!$G220,TODAY(),"Y")&amp; " TAHUN"</f>
        <v>32 TAHUN</v>
      </c>
      <c r="L220" s="12" t="s">
        <v>21</v>
      </c>
    </row>
    <row r="221" spans="1:12" ht="20.100000000000001" customHeight="1" x14ac:dyDescent="0.25">
      <c r="A221" s="8">
        <f t="shared" si="3"/>
        <v>218</v>
      </c>
      <c r="B221" s="9" t="s">
        <v>578</v>
      </c>
      <c r="C221" s="9" t="s">
        <v>585</v>
      </c>
      <c r="D221" s="10" t="s">
        <v>586</v>
      </c>
      <c r="E221" s="10" t="s">
        <v>16</v>
      </c>
      <c r="F221" s="10" t="s">
        <v>290</v>
      </c>
      <c r="G221" s="11">
        <v>35686</v>
      </c>
      <c r="H221" s="10" t="s">
        <v>35</v>
      </c>
      <c r="I221" s="10" t="s">
        <v>40</v>
      </c>
      <c r="J221" s="10" t="s">
        <v>32</v>
      </c>
      <c r="K221" s="10" t="str">
        <f ca="1">DATEDIF('DATA PENDUDUK'!$G221,TODAY(),"Y")&amp; " TAHUN"</f>
        <v>27 TAHUN</v>
      </c>
      <c r="L221" s="12" t="s">
        <v>21</v>
      </c>
    </row>
    <row r="222" spans="1:12" ht="20.100000000000001" customHeight="1" x14ac:dyDescent="0.25">
      <c r="A222" s="8">
        <f t="shared" si="3"/>
        <v>219</v>
      </c>
      <c r="B222" s="9" t="s">
        <v>578</v>
      </c>
      <c r="C222" s="9" t="s">
        <v>587</v>
      </c>
      <c r="D222" s="10" t="s">
        <v>588</v>
      </c>
      <c r="E222" s="10" t="s">
        <v>24</v>
      </c>
      <c r="F222" s="10" t="s">
        <v>290</v>
      </c>
      <c r="G222" s="11">
        <v>37754</v>
      </c>
      <c r="H222" s="10" t="s">
        <v>35</v>
      </c>
      <c r="I222" s="10" t="s">
        <v>40</v>
      </c>
      <c r="J222" s="10" t="s">
        <v>32</v>
      </c>
      <c r="K222" s="10" t="str">
        <f ca="1">DATEDIF('DATA PENDUDUK'!$G222,TODAY(),"Y")&amp; " TAHUN"</f>
        <v>22 TAHUN</v>
      </c>
      <c r="L222" s="12" t="s">
        <v>21</v>
      </c>
    </row>
    <row r="223" spans="1:12" ht="20.100000000000001" customHeight="1" x14ac:dyDescent="0.25">
      <c r="A223" s="8">
        <f t="shared" si="3"/>
        <v>220</v>
      </c>
      <c r="B223" s="9" t="s">
        <v>589</v>
      </c>
      <c r="C223" s="9" t="s">
        <v>590</v>
      </c>
      <c r="D223" s="10" t="s">
        <v>591</v>
      </c>
      <c r="E223" s="10" t="s">
        <v>24</v>
      </c>
      <c r="F223" s="10" t="s">
        <v>290</v>
      </c>
      <c r="G223" s="11">
        <v>28409</v>
      </c>
      <c r="H223" s="10" t="s">
        <v>35</v>
      </c>
      <c r="I223" s="10" t="s">
        <v>19</v>
      </c>
      <c r="J223" s="10" t="s">
        <v>20</v>
      </c>
      <c r="K223" s="10" t="str">
        <f ca="1">DATEDIF('DATA PENDUDUK'!$G223,TODAY(),"Y")&amp; " TAHUN"</f>
        <v>47 TAHUN</v>
      </c>
      <c r="L223" s="12" t="s">
        <v>21</v>
      </c>
    </row>
    <row r="224" spans="1:12" ht="20.100000000000001" customHeight="1" x14ac:dyDescent="0.25">
      <c r="A224" s="8">
        <f t="shared" si="3"/>
        <v>221</v>
      </c>
      <c r="B224" s="9" t="s">
        <v>589</v>
      </c>
      <c r="C224" s="9" t="s">
        <v>592</v>
      </c>
      <c r="D224" s="10" t="s">
        <v>593</v>
      </c>
      <c r="E224" s="10" t="s">
        <v>24</v>
      </c>
      <c r="F224" s="10" t="s">
        <v>30</v>
      </c>
      <c r="G224" s="11">
        <v>40301</v>
      </c>
      <c r="H224" s="10" t="s">
        <v>35</v>
      </c>
      <c r="I224" s="10" t="s">
        <v>31</v>
      </c>
      <c r="J224" s="10" t="s">
        <v>32</v>
      </c>
      <c r="K224" s="10" t="str">
        <f ca="1">DATEDIF('DATA PENDUDUK'!$G224,TODAY(),"Y")&amp; " TAHUN"</f>
        <v>15 TAHUN</v>
      </c>
      <c r="L224" s="12" t="s">
        <v>21</v>
      </c>
    </row>
    <row r="225" spans="1:12" ht="20.100000000000001" customHeight="1" x14ac:dyDescent="0.25">
      <c r="A225" s="8">
        <f t="shared" si="3"/>
        <v>222</v>
      </c>
      <c r="B225" s="9" t="s">
        <v>589</v>
      </c>
      <c r="C225" s="9" t="s">
        <v>594</v>
      </c>
      <c r="D225" s="10" t="s">
        <v>595</v>
      </c>
      <c r="E225" s="10" t="s">
        <v>16</v>
      </c>
      <c r="F225" s="10" t="s">
        <v>79</v>
      </c>
      <c r="G225" s="11">
        <v>41841</v>
      </c>
      <c r="H225" s="10" t="s">
        <v>35</v>
      </c>
      <c r="I225" s="10" t="s">
        <v>31</v>
      </c>
      <c r="J225" s="10" t="s">
        <v>32</v>
      </c>
      <c r="K225" s="10" t="str">
        <f ca="1">DATEDIF('DATA PENDUDUK'!$G225,TODAY(),"Y")&amp; " TAHUN"</f>
        <v>11 TAHUN</v>
      </c>
      <c r="L225" s="12" t="s">
        <v>21</v>
      </c>
    </row>
    <row r="226" spans="1:12" ht="20.100000000000001" customHeight="1" x14ac:dyDescent="0.25">
      <c r="A226" s="8">
        <f t="shared" si="3"/>
        <v>223</v>
      </c>
      <c r="B226" s="9" t="s">
        <v>596</v>
      </c>
      <c r="C226" s="9" t="s">
        <v>597</v>
      </c>
      <c r="D226" s="10" t="s">
        <v>598</v>
      </c>
      <c r="E226" s="10" t="s">
        <v>16</v>
      </c>
      <c r="F226" s="10" t="s">
        <v>323</v>
      </c>
      <c r="G226" s="11">
        <v>30149</v>
      </c>
      <c r="H226" s="10" t="s">
        <v>35</v>
      </c>
      <c r="I226" s="10" t="s">
        <v>599</v>
      </c>
      <c r="J226" s="10" t="s">
        <v>20</v>
      </c>
      <c r="K226" s="10" t="str">
        <f ca="1">DATEDIF('DATA PENDUDUK'!$G226,TODAY(),"Y")&amp; " TAHUN"</f>
        <v>43 TAHUN</v>
      </c>
      <c r="L226" s="12" t="s">
        <v>21</v>
      </c>
    </row>
    <row r="227" spans="1:12" ht="20.100000000000001" customHeight="1" x14ac:dyDescent="0.25">
      <c r="A227" s="8">
        <f t="shared" si="3"/>
        <v>224</v>
      </c>
      <c r="B227" s="9" t="s">
        <v>596</v>
      </c>
      <c r="C227" s="9" t="s">
        <v>600</v>
      </c>
      <c r="D227" s="10" t="s">
        <v>601</v>
      </c>
      <c r="E227" s="10" t="s">
        <v>24</v>
      </c>
      <c r="F227" s="10" t="s">
        <v>323</v>
      </c>
      <c r="G227" s="11">
        <v>30680</v>
      </c>
      <c r="H227" s="10" t="s">
        <v>35</v>
      </c>
      <c r="I227" s="10" t="s">
        <v>26</v>
      </c>
      <c r="J227" s="10" t="s">
        <v>27</v>
      </c>
      <c r="K227" s="10" t="str">
        <f ca="1">DATEDIF('DATA PENDUDUK'!$G227,TODAY(),"Y")&amp; " TAHUN"</f>
        <v>41 TAHUN</v>
      </c>
      <c r="L227" s="12" t="s">
        <v>21</v>
      </c>
    </row>
    <row r="228" spans="1:12" ht="20.100000000000001" customHeight="1" x14ac:dyDescent="0.25">
      <c r="A228" s="8">
        <f t="shared" si="3"/>
        <v>225</v>
      </c>
      <c r="B228" s="9" t="s">
        <v>596</v>
      </c>
      <c r="C228" s="9" t="s">
        <v>602</v>
      </c>
      <c r="D228" s="10" t="s">
        <v>603</v>
      </c>
      <c r="E228" s="10" t="s">
        <v>24</v>
      </c>
      <c r="F228" s="10" t="s">
        <v>323</v>
      </c>
      <c r="G228" s="11">
        <v>37054</v>
      </c>
      <c r="H228" s="10" t="s">
        <v>35</v>
      </c>
      <c r="I228" s="10" t="s">
        <v>40</v>
      </c>
      <c r="J228" s="10" t="s">
        <v>32</v>
      </c>
      <c r="K228" s="10" t="str">
        <f ca="1">DATEDIF('DATA PENDUDUK'!$G228,TODAY(),"Y")&amp; " TAHUN"</f>
        <v>24 TAHUN</v>
      </c>
      <c r="L228" s="12" t="s">
        <v>21</v>
      </c>
    </row>
    <row r="229" spans="1:12" ht="20.100000000000001" customHeight="1" x14ac:dyDescent="0.25">
      <c r="A229" s="8">
        <f t="shared" si="3"/>
        <v>226</v>
      </c>
      <c r="B229" s="9" t="s">
        <v>596</v>
      </c>
      <c r="C229" s="9" t="s">
        <v>604</v>
      </c>
      <c r="D229" s="10" t="s">
        <v>605</v>
      </c>
      <c r="E229" s="10" t="s">
        <v>24</v>
      </c>
      <c r="F229" s="10" t="s">
        <v>323</v>
      </c>
      <c r="G229" s="11">
        <v>39446</v>
      </c>
      <c r="H229" s="10" t="s">
        <v>35</v>
      </c>
      <c r="I229" s="10" t="s">
        <v>31</v>
      </c>
      <c r="J229" s="10" t="s">
        <v>32</v>
      </c>
      <c r="K229" s="10" t="str">
        <f ca="1">DATEDIF('DATA PENDUDUK'!$G229,TODAY(),"Y")&amp; " TAHUN"</f>
        <v>17 TAHUN</v>
      </c>
      <c r="L229" s="12" t="s">
        <v>21</v>
      </c>
    </row>
    <row r="230" spans="1:12" ht="20.100000000000001" customHeight="1" x14ac:dyDescent="0.25">
      <c r="A230" s="8">
        <f t="shared" si="3"/>
        <v>227</v>
      </c>
      <c r="B230" s="9" t="s">
        <v>596</v>
      </c>
      <c r="C230" s="9" t="s">
        <v>606</v>
      </c>
      <c r="D230" s="10" t="s">
        <v>607</v>
      </c>
      <c r="E230" s="10" t="s">
        <v>16</v>
      </c>
      <c r="F230" s="10" t="s">
        <v>323</v>
      </c>
      <c r="G230" s="11">
        <v>40749</v>
      </c>
      <c r="H230" s="10" t="s">
        <v>35</v>
      </c>
      <c r="I230" s="10" t="s">
        <v>31</v>
      </c>
      <c r="J230" s="10" t="s">
        <v>32</v>
      </c>
      <c r="K230" s="10" t="str">
        <f ca="1">DATEDIF('DATA PENDUDUK'!$G230,TODAY(),"Y")&amp; " TAHUN"</f>
        <v>13 TAHUN</v>
      </c>
      <c r="L230" s="12" t="s">
        <v>21</v>
      </c>
    </row>
    <row r="231" spans="1:12" ht="20.100000000000001" customHeight="1" x14ac:dyDescent="0.25">
      <c r="A231" s="8">
        <f t="shared" si="3"/>
        <v>228</v>
      </c>
      <c r="B231" s="9" t="s">
        <v>608</v>
      </c>
      <c r="C231" s="9" t="s">
        <v>609</v>
      </c>
      <c r="D231" s="10" t="s">
        <v>610</v>
      </c>
      <c r="E231" s="10" t="s">
        <v>16</v>
      </c>
      <c r="F231" s="10" t="s">
        <v>268</v>
      </c>
      <c r="G231" s="11">
        <v>27030</v>
      </c>
      <c r="H231" s="10" t="s">
        <v>35</v>
      </c>
      <c r="I231" s="10" t="s">
        <v>73</v>
      </c>
      <c r="J231" s="10" t="s">
        <v>20</v>
      </c>
      <c r="K231" s="10" t="str">
        <f ca="1">DATEDIF('DATA PENDUDUK'!$G231,TODAY(),"Y")&amp; " TAHUN"</f>
        <v>51 TAHUN</v>
      </c>
      <c r="L231" s="12" t="s">
        <v>21</v>
      </c>
    </row>
    <row r="232" spans="1:12" ht="20.100000000000001" customHeight="1" x14ac:dyDescent="0.25">
      <c r="A232" s="8">
        <f t="shared" si="3"/>
        <v>229</v>
      </c>
      <c r="B232" s="9" t="s">
        <v>608</v>
      </c>
      <c r="C232" s="9" t="s">
        <v>611</v>
      </c>
      <c r="D232" s="10" t="s">
        <v>612</v>
      </c>
      <c r="E232" s="10" t="s">
        <v>24</v>
      </c>
      <c r="F232" s="10" t="s">
        <v>79</v>
      </c>
      <c r="G232" s="11">
        <v>28668</v>
      </c>
      <c r="H232" s="10" t="s">
        <v>35</v>
      </c>
      <c r="I232" s="10" t="s">
        <v>26</v>
      </c>
      <c r="J232" s="10" t="s">
        <v>27</v>
      </c>
      <c r="K232" s="10" t="str">
        <f ca="1">DATEDIF('DATA PENDUDUK'!$G232,TODAY(),"Y")&amp; " TAHUN"</f>
        <v>47 TAHUN</v>
      </c>
      <c r="L232" s="12" t="s">
        <v>21</v>
      </c>
    </row>
    <row r="233" spans="1:12" ht="20.100000000000001" customHeight="1" x14ac:dyDescent="0.25">
      <c r="A233" s="8">
        <f t="shared" si="3"/>
        <v>230</v>
      </c>
      <c r="B233" s="9" t="s">
        <v>608</v>
      </c>
      <c r="C233" s="9" t="s">
        <v>613</v>
      </c>
      <c r="D233" s="10" t="s">
        <v>614</v>
      </c>
      <c r="E233" s="10" t="s">
        <v>16</v>
      </c>
      <c r="F233" s="10" t="s">
        <v>79</v>
      </c>
      <c r="G233" s="11">
        <v>40247</v>
      </c>
      <c r="H233" s="10" t="s">
        <v>35</v>
      </c>
      <c r="I233" s="10" t="s">
        <v>31</v>
      </c>
      <c r="J233" s="10" t="s">
        <v>32</v>
      </c>
      <c r="K233" s="10" t="str">
        <f ca="1">DATEDIF('DATA PENDUDUK'!$G233,TODAY(),"Y")&amp; " TAHUN"</f>
        <v>15 TAHUN</v>
      </c>
      <c r="L233" s="12" t="s">
        <v>21</v>
      </c>
    </row>
    <row r="234" spans="1:12" ht="20.100000000000001" customHeight="1" x14ac:dyDescent="0.25">
      <c r="A234" s="8">
        <f t="shared" si="3"/>
        <v>231</v>
      </c>
      <c r="B234" s="9" t="s">
        <v>615</v>
      </c>
      <c r="C234" s="9" t="s">
        <v>616</v>
      </c>
      <c r="D234" s="10" t="s">
        <v>617</v>
      </c>
      <c r="E234" s="10" t="s">
        <v>16</v>
      </c>
      <c r="F234" s="10" t="s">
        <v>618</v>
      </c>
      <c r="G234" s="11">
        <v>29987</v>
      </c>
      <c r="H234" s="10" t="s">
        <v>35</v>
      </c>
      <c r="I234" s="10" t="s">
        <v>73</v>
      </c>
      <c r="J234" s="10" t="s">
        <v>20</v>
      </c>
      <c r="K234" s="10" t="str">
        <f ca="1">DATEDIF('DATA PENDUDUK'!$G234,TODAY(),"Y")&amp; " TAHUN"</f>
        <v>43 TAHUN</v>
      </c>
      <c r="L234" s="12" t="s">
        <v>21</v>
      </c>
    </row>
    <row r="235" spans="1:12" ht="20.100000000000001" customHeight="1" x14ac:dyDescent="0.25">
      <c r="A235" s="8">
        <f t="shared" si="3"/>
        <v>232</v>
      </c>
      <c r="B235" s="9" t="s">
        <v>615</v>
      </c>
      <c r="C235" s="9" t="s">
        <v>619</v>
      </c>
      <c r="D235" s="10" t="s">
        <v>500</v>
      </c>
      <c r="E235" s="10" t="s">
        <v>24</v>
      </c>
      <c r="F235" s="10" t="s">
        <v>25</v>
      </c>
      <c r="G235" s="11">
        <v>28270</v>
      </c>
      <c r="H235" s="10" t="s">
        <v>35</v>
      </c>
      <c r="I235" s="10" t="s">
        <v>26</v>
      </c>
      <c r="J235" s="10" t="s">
        <v>27</v>
      </c>
      <c r="K235" s="10" t="str">
        <f ca="1">DATEDIF('DATA PENDUDUK'!$G235,TODAY(),"Y")&amp; " TAHUN"</f>
        <v>48 TAHUN</v>
      </c>
      <c r="L235" s="12" t="s">
        <v>21</v>
      </c>
    </row>
    <row r="236" spans="1:12" ht="20.100000000000001" customHeight="1" x14ac:dyDescent="0.25">
      <c r="A236" s="8">
        <f t="shared" si="3"/>
        <v>233</v>
      </c>
      <c r="B236" s="9" t="s">
        <v>615</v>
      </c>
      <c r="C236" s="9" t="s">
        <v>620</v>
      </c>
      <c r="D236" s="10" t="s">
        <v>621</v>
      </c>
      <c r="E236" s="10" t="s">
        <v>24</v>
      </c>
      <c r="F236" s="10" t="s">
        <v>25</v>
      </c>
      <c r="G236" s="11">
        <v>35206</v>
      </c>
      <c r="H236" s="10" t="s">
        <v>35</v>
      </c>
      <c r="I236" s="10" t="s">
        <v>40</v>
      </c>
      <c r="J236" s="10" t="s">
        <v>32</v>
      </c>
      <c r="K236" s="10" t="str">
        <f ca="1">DATEDIF('DATA PENDUDUK'!$G236,TODAY(),"Y")&amp; " TAHUN"</f>
        <v>29 TAHUN</v>
      </c>
      <c r="L236" s="12" t="s">
        <v>21</v>
      </c>
    </row>
    <row r="237" spans="1:12" ht="20.100000000000001" customHeight="1" x14ac:dyDescent="0.25">
      <c r="A237" s="8">
        <f t="shared" si="3"/>
        <v>234</v>
      </c>
      <c r="B237" s="9" t="s">
        <v>615</v>
      </c>
      <c r="C237" s="9" t="s">
        <v>622</v>
      </c>
      <c r="D237" s="10" t="s">
        <v>623</v>
      </c>
      <c r="E237" s="10" t="s">
        <v>24</v>
      </c>
      <c r="F237" s="10" t="s">
        <v>25</v>
      </c>
      <c r="G237" s="11">
        <v>37087</v>
      </c>
      <c r="H237" s="10" t="s">
        <v>35</v>
      </c>
      <c r="I237" s="10" t="s">
        <v>73</v>
      </c>
      <c r="J237" s="10" t="s">
        <v>32</v>
      </c>
      <c r="K237" s="10" t="str">
        <f ca="1">DATEDIF('DATA PENDUDUK'!$G237,TODAY(),"Y")&amp; " TAHUN"</f>
        <v>24 TAHUN</v>
      </c>
      <c r="L237" s="12" t="s">
        <v>21</v>
      </c>
    </row>
    <row r="238" spans="1:12" ht="20.100000000000001" customHeight="1" x14ac:dyDescent="0.25">
      <c r="A238" s="8">
        <f t="shared" si="3"/>
        <v>235</v>
      </c>
      <c r="B238" s="9" t="s">
        <v>615</v>
      </c>
      <c r="C238" s="9" t="s">
        <v>624</v>
      </c>
      <c r="D238" s="10" t="s">
        <v>625</v>
      </c>
      <c r="E238" s="10" t="s">
        <v>16</v>
      </c>
      <c r="F238" s="10" t="s">
        <v>25</v>
      </c>
      <c r="G238" s="11">
        <v>43238</v>
      </c>
      <c r="H238" s="10" t="s">
        <v>35</v>
      </c>
      <c r="I238" s="10" t="s">
        <v>31</v>
      </c>
      <c r="J238" s="10" t="s">
        <v>32</v>
      </c>
      <c r="K238" s="10" t="str">
        <f ca="1">DATEDIF('DATA PENDUDUK'!$G238,TODAY(),"Y")&amp; " TAHUN"</f>
        <v>7 TAHUN</v>
      </c>
      <c r="L238" s="12" t="s">
        <v>21</v>
      </c>
    </row>
    <row r="239" spans="1:12" ht="20.100000000000001" customHeight="1" x14ac:dyDescent="0.25">
      <c r="A239" s="8">
        <f t="shared" si="3"/>
        <v>236</v>
      </c>
      <c r="B239" s="9" t="s">
        <v>626</v>
      </c>
      <c r="C239" s="9" t="s">
        <v>627</v>
      </c>
      <c r="D239" s="10" t="s">
        <v>628</v>
      </c>
      <c r="E239" s="10" t="s">
        <v>24</v>
      </c>
      <c r="F239" s="10" t="s">
        <v>629</v>
      </c>
      <c r="G239" s="11">
        <v>29351</v>
      </c>
      <c r="H239" s="10" t="s">
        <v>35</v>
      </c>
      <c r="I239" s="10" t="s">
        <v>19</v>
      </c>
      <c r="J239" s="10" t="s">
        <v>20</v>
      </c>
      <c r="K239" s="10" t="str">
        <f ca="1">DATEDIF('DATA PENDUDUK'!$G239,TODAY(),"Y")&amp; " TAHUN"</f>
        <v>45 TAHUN</v>
      </c>
      <c r="L239" s="12" t="s">
        <v>21</v>
      </c>
    </row>
    <row r="240" spans="1:12" ht="20.100000000000001" customHeight="1" x14ac:dyDescent="0.25">
      <c r="A240" s="8">
        <f t="shared" si="3"/>
        <v>237</v>
      </c>
      <c r="B240" s="9" t="s">
        <v>630</v>
      </c>
      <c r="C240" s="9" t="s">
        <v>631</v>
      </c>
      <c r="D240" s="10" t="s">
        <v>632</v>
      </c>
      <c r="E240" s="10" t="s">
        <v>24</v>
      </c>
      <c r="F240" s="10" t="s">
        <v>87</v>
      </c>
      <c r="G240" s="11">
        <v>28352</v>
      </c>
      <c r="H240" s="10" t="s">
        <v>35</v>
      </c>
      <c r="I240" s="10" t="s">
        <v>19</v>
      </c>
      <c r="J240" s="10" t="s">
        <v>20</v>
      </c>
      <c r="K240" s="10" t="str">
        <f ca="1">DATEDIF('DATA PENDUDUK'!$G240,TODAY(),"Y")&amp; " TAHUN"</f>
        <v>47 TAHUN</v>
      </c>
      <c r="L240" s="12" t="s">
        <v>21</v>
      </c>
    </row>
    <row r="241" spans="1:12" ht="20.100000000000001" customHeight="1" x14ac:dyDescent="0.25">
      <c r="A241" s="8">
        <f t="shared" si="3"/>
        <v>238</v>
      </c>
      <c r="B241" s="9" t="s">
        <v>630</v>
      </c>
      <c r="C241" s="9" t="s">
        <v>633</v>
      </c>
      <c r="D241" s="10" t="s">
        <v>634</v>
      </c>
      <c r="E241" s="10" t="s">
        <v>24</v>
      </c>
      <c r="F241" s="10" t="s">
        <v>87</v>
      </c>
      <c r="G241" s="11">
        <v>38852</v>
      </c>
      <c r="H241" s="10" t="s">
        <v>35</v>
      </c>
      <c r="I241" s="10" t="s">
        <v>40</v>
      </c>
      <c r="J241" s="10" t="s">
        <v>32</v>
      </c>
      <c r="K241" s="10" t="str">
        <f ca="1">DATEDIF('DATA PENDUDUK'!$G241,TODAY(),"Y")&amp; " TAHUN"</f>
        <v>19 TAHUN</v>
      </c>
      <c r="L241" s="12" t="s">
        <v>21</v>
      </c>
    </row>
    <row r="242" spans="1:12" ht="20.100000000000001" customHeight="1" x14ac:dyDescent="0.25">
      <c r="A242" s="8">
        <f t="shared" si="3"/>
        <v>239</v>
      </c>
      <c r="B242" s="9" t="s">
        <v>635</v>
      </c>
      <c r="C242" s="9" t="s">
        <v>636</v>
      </c>
      <c r="D242" s="10" t="s">
        <v>637</v>
      </c>
      <c r="E242" s="10" t="s">
        <v>16</v>
      </c>
      <c r="F242" s="10" t="s">
        <v>638</v>
      </c>
      <c r="G242" s="11">
        <v>31509</v>
      </c>
      <c r="H242" s="10" t="s">
        <v>35</v>
      </c>
      <c r="I242" s="10" t="s">
        <v>73</v>
      </c>
      <c r="J242" s="10" t="s">
        <v>20</v>
      </c>
      <c r="K242" s="10" t="str">
        <f ca="1">DATEDIF('DATA PENDUDUK'!$G242,TODAY(),"Y")&amp; " TAHUN"</f>
        <v>39 TAHUN</v>
      </c>
      <c r="L242" s="12" t="s">
        <v>21</v>
      </c>
    </row>
    <row r="243" spans="1:12" ht="20.100000000000001" customHeight="1" x14ac:dyDescent="0.25">
      <c r="A243" s="8">
        <f t="shared" si="3"/>
        <v>240</v>
      </c>
      <c r="B243" s="9" t="s">
        <v>635</v>
      </c>
      <c r="C243" s="9" t="s">
        <v>639</v>
      </c>
      <c r="D243" s="10" t="s">
        <v>640</v>
      </c>
      <c r="E243" s="10" t="s">
        <v>24</v>
      </c>
      <c r="F243" s="10" t="s">
        <v>189</v>
      </c>
      <c r="G243" s="11">
        <v>32601</v>
      </c>
      <c r="H243" s="10" t="s">
        <v>35</v>
      </c>
      <c r="I243" s="10" t="s">
        <v>73</v>
      </c>
      <c r="J243" s="10" t="s">
        <v>27</v>
      </c>
      <c r="K243" s="10" t="str">
        <f ca="1">DATEDIF('DATA PENDUDUK'!$G243,TODAY(),"Y")&amp; " TAHUN"</f>
        <v>36 TAHUN</v>
      </c>
      <c r="L243" s="12" t="s">
        <v>21</v>
      </c>
    </row>
    <row r="244" spans="1:12" ht="20.100000000000001" customHeight="1" x14ac:dyDescent="0.25">
      <c r="A244" s="8">
        <f t="shared" si="3"/>
        <v>241</v>
      </c>
      <c r="B244" s="9" t="s">
        <v>635</v>
      </c>
      <c r="C244" s="9" t="s">
        <v>641</v>
      </c>
      <c r="D244" s="10" t="s">
        <v>642</v>
      </c>
      <c r="E244" s="10" t="s">
        <v>24</v>
      </c>
      <c r="F244" s="10" t="s">
        <v>189</v>
      </c>
      <c r="G244" s="11">
        <v>38688</v>
      </c>
      <c r="H244" s="10" t="s">
        <v>35</v>
      </c>
      <c r="I244" s="10" t="s">
        <v>31</v>
      </c>
      <c r="J244" s="10" t="s">
        <v>32</v>
      </c>
      <c r="K244" s="10" t="str">
        <f ca="1">DATEDIF('DATA PENDUDUK'!$G244,TODAY(),"Y")&amp; " TAHUN"</f>
        <v>19 TAHUN</v>
      </c>
      <c r="L244" s="12" t="s">
        <v>21</v>
      </c>
    </row>
    <row r="245" spans="1:12" ht="20.100000000000001" customHeight="1" x14ac:dyDescent="0.25">
      <c r="A245" s="8">
        <f t="shared" si="3"/>
        <v>242</v>
      </c>
      <c r="B245" s="9" t="s">
        <v>635</v>
      </c>
      <c r="C245" s="9" t="s">
        <v>643</v>
      </c>
      <c r="D245" s="10" t="s">
        <v>644</v>
      </c>
      <c r="E245" s="10" t="s">
        <v>24</v>
      </c>
      <c r="F245" s="10" t="s">
        <v>189</v>
      </c>
      <c r="G245" s="11">
        <v>41934</v>
      </c>
      <c r="H245" s="10" t="s">
        <v>35</v>
      </c>
      <c r="I245" s="10" t="s">
        <v>31</v>
      </c>
      <c r="J245" s="10" t="s">
        <v>32</v>
      </c>
      <c r="K245" s="10" t="str">
        <f ca="1">DATEDIF('DATA PENDUDUK'!$G245,TODAY(),"Y")&amp; " TAHUN"</f>
        <v>10 TAHUN</v>
      </c>
      <c r="L245" s="12" t="s">
        <v>21</v>
      </c>
    </row>
    <row r="246" spans="1:12" ht="20.100000000000001" customHeight="1" x14ac:dyDescent="0.25">
      <c r="A246" s="8">
        <f t="shared" si="3"/>
        <v>243</v>
      </c>
      <c r="B246" s="9" t="s">
        <v>645</v>
      </c>
      <c r="C246" s="9" t="s">
        <v>646</v>
      </c>
      <c r="D246" s="10" t="s">
        <v>647</v>
      </c>
      <c r="E246" s="10" t="s">
        <v>16</v>
      </c>
      <c r="F246" s="10" t="s">
        <v>518</v>
      </c>
      <c r="G246" s="11">
        <v>28123</v>
      </c>
      <c r="H246" s="10" t="s">
        <v>35</v>
      </c>
      <c r="I246" s="10" t="s">
        <v>19</v>
      </c>
      <c r="J246" s="10" t="s">
        <v>20</v>
      </c>
      <c r="K246" s="10" t="str">
        <f ca="1">DATEDIF('DATA PENDUDUK'!$G246,TODAY(),"Y")&amp; " TAHUN"</f>
        <v>48 TAHUN</v>
      </c>
      <c r="L246" s="12" t="s">
        <v>21</v>
      </c>
    </row>
    <row r="247" spans="1:12" ht="20.100000000000001" customHeight="1" x14ac:dyDescent="0.25">
      <c r="A247" s="8">
        <f t="shared" si="3"/>
        <v>244</v>
      </c>
      <c r="B247" s="9" t="s">
        <v>645</v>
      </c>
      <c r="C247" s="9" t="s">
        <v>648</v>
      </c>
      <c r="D247" s="10" t="s">
        <v>649</v>
      </c>
      <c r="E247" s="10" t="s">
        <v>24</v>
      </c>
      <c r="F247" s="10" t="s">
        <v>518</v>
      </c>
      <c r="G247" s="11">
        <v>29403</v>
      </c>
      <c r="H247" s="10" t="s">
        <v>35</v>
      </c>
      <c r="I247" s="10" t="s">
        <v>26</v>
      </c>
      <c r="J247" s="10" t="s">
        <v>27</v>
      </c>
      <c r="K247" s="10" t="str">
        <f ca="1">DATEDIF('DATA PENDUDUK'!$G247,TODAY(),"Y")&amp; " TAHUN"</f>
        <v>45 TAHUN</v>
      </c>
      <c r="L247" s="12" t="s">
        <v>21</v>
      </c>
    </row>
    <row r="248" spans="1:12" ht="20.100000000000001" customHeight="1" x14ac:dyDescent="0.25">
      <c r="A248" s="8">
        <f t="shared" si="3"/>
        <v>245</v>
      </c>
      <c r="B248" s="9" t="s">
        <v>645</v>
      </c>
      <c r="C248" s="9" t="s">
        <v>650</v>
      </c>
      <c r="D248" s="10" t="s">
        <v>651</v>
      </c>
      <c r="E248" s="10" t="s">
        <v>24</v>
      </c>
      <c r="F248" s="10" t="s">
        <v>518</v>
      </c>
      <c r="G248" s="11">
        <v>36409</v>
      </c>
      <c r="H248" s="10" t="s">
        <v>35</v>
      </c>
      <c r="I248" s="10" t="s">
        <v>40</v>
      </c>
      <c r="J248" s="10" t="s">
        <v>32</v>
      </c>
      <c r="K248" s="10" t="str">
        <f ca="1">DATEDIF('DATA PENDUDUK'!$G248,TODAY(),"Y")&amp; " TAHUN"</f>
        <v>25 TAHUN</v>
      </c>
      <c r="L248" s="12" t="s">
        <v>21</v>
      </c>
    </row>
    <row r="249" spans="1:12" ht="20.100000000000001" customHeight="1" x14ac:dyDescent="0.25">
      <c r="A249" s="8">
        <f t="shared" si="3"/>
        <v>246</v>
      </c>
      <c r="B249" s="9" t="s">
        <v>645</v>
      </c>
      <c r="C249" s="9" t="s">
        <v>652</v>
      </c>
      <c r="D249" s="10" t="s">
        <v>653</v>
      </c>
      <c r="E249" s="10" t="s">
        <v>16</v>
      </c>
      <c r="F249" s="10" t="s">
        <v>518</v>
      </c>
      <c r="G249" s="11">
        <v>37625</v>
      </c>
      <c r="H249" s="10" t="s">
        <v>35</v>
      </c>
      <c r="I249" s="10" t="s">
        <v>40</v>
      </c>
      <c r="J249" s="10" t="s">
        <v>32</v>
      </c>
      <c r="K249" s="10" t="str">
        <f ca="1">DATEDIF('DATA PENDUDUK'!$G249,TODAY(),"Y")&amp; " TAHUN"</f>
        <v>22 TAHUN</v>
      </c>
      <c r="L249" s="12" t="s">
        <v>21</v>
      </c>
    </row>
    <row r="250" spans="1:12" ht="20.100000000000001" customHeight="1" x14ac:dyDescent="0.25">
      <c r="A250" s="8">
        <f t="shared" si="3"/>
        <v>247</v>
      </c>
      <c r="B250" s="9" t="s">
        <v>645</v>
      </c>
      <c r="C250" s="9" t="s">
        <v>654</v>
      </c>
      <c r="D250" s="10" t="s">
        <v>655</v>
      </c>
      <c r="E250" s="10" t="s">
        <v>16</v>
      </c>
      <c r="F250" s="10" t="s">
        <v>518</v>
      </c>
      <c r="G250" s="11">
        <v>41844</v>
      </c>
      <c r="H250" s="10" t="s">
        <v>35</v>
      </c>
      <c r="I250" s="10" t="s">
        <v>31</v>
      </c>
      <c r="J250" s="10" t="s">
        <v>32</v>
      </c>
      <c r="K250" s="10" t="str">
        <f ca="1">DATEDIF('DATA PENDUDUK'!$G250,TODAY(),"Y")&amp; " TAHUN"</f>
        <v>11 TAHUN</v>
      </c>
      <c r="L250" s="12" t="s">
        <v>21</v>
      </c>
    </row>
    <row r="251" spans="1:12" ht="20.100000000000001" customHeight="1" x14ac:dyDescent="0.25">
      <c r="A251" s="8">
        <f t="shared" si="3"/>
        <v>248</v>
      </c>
      <c r="B251" s="9" t="s">
        <v>656</v>
      </c>
      <c r="C251" s="9" t="s">
        <v>657</v>
      </c>
      <c r="D251" s="10" t="s">
        <v>658</v>
      </c>
      <c r="E251" s="10" t="s">
        <v>16</v>
      </c>
      <c r="F251" s="10" t="s">
        <v>659</v>
      </c>
      <c r="G251" s="11">
        <v>33373</v>
      </c>
      <c r="H251" s="10" t="s">
        <v>35</v>
      </c>
      <c r="I251" s="10" t="s">
        <v>19</v>
      </c>
      <c r="J251" s="10" t="s">
        <v>20</v>
      </c>
      <c r="K251" s="10" t="str">
        <f ca="1">DATEDIF('DATA PENDUDUK'!$G251,TODAY(),"Y")&amp; " TAHUN"</f>
        <v>34 TAHUN</v>
      </c>
      <c r="L251" s="12" t="s">
        <v>21</v>
      </c>
    </row>
    <row r="252" spans="1:12" ht="20.100000000000001" customHeight="1" x14ac:dyDescent="0.25">
      <c r="A252" s="8">
        <f t="shared" si="3"/>
        <v>249</v>
      </c>
      <c r="B252" s="9" t="s">
        <v>656</v>
      </c>
      <c r="C252" s="9" t="s">
        <v>660</v>
      </c>
      <c r="D252" s="10" t="s">
        <v>661</v>
      </c>
      <c r="E252" s="10" t="s">
        <v>24</v>
      </c>
      <c r="F252" s="10" t="s">
        <v>662</v>
      </c>
      <c r="G252" s="11">
        <v>33808</v>
      </c>
      <c r="H252" s="10" t="s">
        <v>35</v>
      </c>
      <c r="I252" s="10" t="s">
        <v>26</v>
      </c>
      <c r="J252" s="10" t="s">
        <v>27</v>
      </c>
      <c r="K252" s="10" t="str">
        <f ca="1">DATEDIF('DATA PENDUDUK'!$G252,TODAY(),"Y")&amp; " TAHUN"</f>
        <v>33 TAHUN</v>
      </c>
      <c r="L252" s="12" t="s">
        <v>21</v>
      </c>
    </row>
    <row r="253" spans="1:12" ht="20.100000000000001" customHeight="1" x14ac:dyDescent="0.25">
      <c r="A253" s="8">
        <f t="shared" si="3"/>
        <v>250</v>
      </c>
      <c r="B253" s="9" t="s">
        <v>656</v>
      </c>
      <c r="C253" s="9" t="s">
        <v>663</v>
      </c>
      <c r="D253" s="10" t="s">
        <v>664</v>
      </c>
      <c r="E253" s="10" t="s">
        <v>16</v>
      </c>
      <c r="F253" s="10" t="s">
        <v>665</v>
      </c>
      <c r="G253" s="11">
        <v>41027</v>
      </c>
      <c r="H253" s="10" t="s">
        <v>35</v>
      </c>
      <c r="I253" s="10" t="s">
        <v>31</v>
      </c>
      <c r="J253" s="10" t="s">
        <v>32</v>
      </c>
      <c r="K253" s="10" t="str">
        <f ca="1">DATEDIF('DATA PENDUDUK'!$G253,TODAY(),"Y")&amp; " TAHUN"</f>
        <v>13 TAHUN</v>
      </c>
      <c r="L253" s="12" t="s">
        <v>21</v>
      </c>
    </row>
    <row r="254" spans="1:12" ht="20.100000000000001" customHeight="1" x14ac:dyDescent="0.25">
      <c r="A254" s="8">
        <f t="shared" si="3"/>
        <v>251</v>
      </c>
      <c r="B254" s="9" t="s">
        <v>656</v>
      </c>
      <c r="C254" s="9" t="s">
        <v>666</v>
      </c>
      <c r="D254" s="10" t="s">
        <v>667</v>
      </c>
      <c r="E254" s="10" t="s">
        <v>24</v>
      </c>
      <c r="F254" s="10" t="s">
        <v>662</v>
      </c>
      <c r="G254" s="11">
        <v>43050</v>
      </c>
      <c r="H254" s="10" t="s">
        <v>35</v>
      </c>
      <c r="I254" s="10" t="s">
        <v>31</v>
      </c>
      <c r="J254" s="10" t="s">
        <v>32</v>
      </c>
      <c r="K254" s="10" t="str">
        <f ca="1">DATEDIF('DATA PENDUDUK'!$G254,TODAY(),"Y")&amp; " TAHUN"</f>
        <v>7 TAHUN</v>
      </c>
      <c r="L254" s="12" t="s">
        <v>21</v>
      </c>
    </row>
    <row r="255" spans="1:12" ht="20.100000000000001" customHeight="1" x14ac:dyDescent="0.25">
      <c r="A255" s="8">
        <f t="shared" si="3"/>
        <v>252</v>
      </c>
      <c r="B255" s="13" t="s">
        <v>668</v>
      </c>
      <c r="C255" s="13" t="s">
        <v>669</v>
      </c>
      <c r="D255" s="10" t="s">
        <v>670</v>
      </c>
      <c r="E255" s="10" t="s">
        <v>671</v>
      </c>
      <c r="F255" s="10" t="s">
        <v>672</v>
      </c>
      <c r="G255" s="14">
        <v>23200</v>
      </c>
      <c r="H255" s="10" t="s">
        <v>35</v>
      </c>
      <c r="I255" s="10" t="s">
        <v>19</v>
      </c>
      <c r="J255" s="10" t="s">
        <v>20</v>
      </c>
      <c r="K255" s="10" t="str">
        <f ca="1">DATEDIF('DATA PENDUDUK'!$G255,TODAY(),"Y")&amp; " TAHUN"</f>
        <v>62 TAHUN</v>
      </c>
      <c r="L255" s="15" t="s">
        <v>673</v>
      </c>
    </row>
    <row r="256" spans="1:12" ht="20.100000000000001" customHeight="1" x14ac:dyDescent="0.25">
      <c r="A256" s="8">
        <f t="shared" si="3"/>
        <v>253</v>
      </c>
      <c r="B256" s="13" t="s">
        <v>668</v>
      </c>
      <c r="C256" s="13" t="s">
        <v>674</v>
      </c>
      <c r="D256" s="10" t="s">
        <v>675</v>
      </c>
      <c r="E256" s="10" t="s">
        <v>24</v>
      </c>
      <c r="F256" s="10" t="s">
        <v>672</v>
      </c>
      <c r="G256" s="14">
        <v>21277</v>
      </c>
      <c r="H256" s="10" t="s">
        <v>35</v>
      </c>
      <c r="I256" s="10" t="s">
        <v>26</v>
      </c>
      <c r="J256" s="10" t="s">
        <v>27</v>
      </c>
      <c r="K256" s="10" t="str">
        <f ca="1">DATEDIF('DATA PENDUDUK'!$G256,TODAY(),"Y")&amp; " TAHUN"</f>
        <v>67 TAHUN</v>
      </c>
      <c r="L256" s="15" t="s">
        <v>673</v>
      </c>
    </row>
    <row r="257" spans="1:12" ht="20.100000000000001" customHeight="1" x14ac:dyDescent="0.25">
      <c r="A257" s="8">
        <f t="shared" si="3"/>
        <v>254</v>
      </c>
      <c r="B257" s="13" t="s">
        <v>668</v>
      </c>
      <c r="C257" s="13" t="s">
        <v>676</v>
      </c>
      <c r="D257" s="10" t="s">
        <v>677</v>
      </c>
      <c r="E257" s="10" t="s">
        <v>24</v>
      </c>
      <c r="F257" s="10" t="s">
        <v>30</v>
      </c>
      <c r="G257" s="14">
        <v>36592</v>
      </c>
      <c r="H257" s="10" t="s">
        <v>35</v>
      </c>
      <c r="I257" s="10" t="s">
        <v>40</v>
      </c>
      <c r="J257" s="10" t="s">
        <v>32</v>
      </c>
      <c r="K257" s="10" t="str">
        <f ca="1">DATEDIF('DATA PENDUDUK'!$G257,TODAY(),"Y")&amp; " TAHUN"</f>
        <v>25 TAHUN</v>
      </c>
      <c r="L257" s="15" t="s">
        <v>673</v>
      </c>
    </row>
    <row r="258" spans="1:12" ht="20.100000000000001" customHeight="1" x14ac:dyDescent="0.25">
      <c r="A258" s="8">
        <f t="shared" si="3"/>
        <v>255</v>
      </c>
      <c r="B258" s="13" t="s">
        <v>678</v>
      </c>
      <c r="C258" s="13" t="s">
        <v>679</v>
      </c>
      <c r="D258" s="10" t="s">
        <v>680</v>
      </c>
      <c r="E258" s="10" t="s">
        <v>671</v>
      </c>
      <c r="F258" s="10" t="s">
        <v>681</v>
      </c>
      <c r="G258" s="14">
        <v>36192</v>
      </c>
      <c r="H258" s="10" t="s">
        <v>438</v>
      </c>
      <c r="I258" s="10" t="s">
        <v>19</v>
      </c>
      <c r="J258" s="10" t="s">
        <v>20</v>
      </c>
      <c r="K258" s="10" t="str">
        <f ca="1">DATEDIF('DATA PENDUDUK'!$G258,TODAY(),"Y")&amp; " TAHUN"</f>
        <v>26 TAHUN</v>
      </c>
      <c r="L258" s="15" t="s">
        <v>673</v>
      </c>
    </row>
    <row r="259" spans="1:12" ht="20.100000000000001" customHeight="1" x14ac:dyDescent="0.25">
      <c r="A259" s="8">
        <f t="shared" si="3"/>
        <v>256</v>
      </c>
      <c r="B259" s="13" t="s">
        <v>682</v>
      </c>
      <c r="C259" s="13" t="s">
        <v>683</v>
      </c>
      <c r="D259" s="10" t="s">
        <v>684</v>
      </c>
      <c r="E259" s="10" t="s">
        <v>671</v>
      </c>
      <c r="F259" s="10" t="s">
        <v>118</v>
      </c>
      <c r="G259" s="14">
        <v>24370</v>
      </c>
      <c r="H259" s="10" t="s">
        <v>35</v>
      </c>
      <c r="I259" s="10" t="s">
        <v>685</v>
      </c>
      <c r="J259" s="10" t="s">
        <v>20</v>
      </c>
      <c r="K259" s="10" t="str">
        <f ca="1">DATEDIF('DATA PENDUDUK'!$G259,TODAY(),"Y")&amp; " TAHUN"</f>
        <v>58 TAHUN</v>
      </c>
      <c r="L259" s="15" t="s">
        <v>673</v>
      </c>
    </row>
    <row r="260" spans="1:12" ht="20.100000000000001" customHeight="1" x14ac:dyDescent="0.25">
      <c r="A260" s="8">
        <f t="shared" si="3"/>
        <v>257</v>
      </c>
      <c r="B260" s="13" t="s">
        <v>682</v>
      </c>
      <c r="C260" s="13" t="s">
        <v>686</v>
      </c>
      <c r="D260" s="10" t="s">
        <v>687</v>
      </c>
      <c r="E260" s="10" t="s">
        <v>24</v>
      </c>
      <c r="F260" s="10" t="s">
        <v>118</v>
      </c>
      <c r="G260" s="14">
        <v>24835</v>
      </c>
      <c r="H260" s="10" t="s">
        <v>35</v>
      </c>
      <c r="I260" s="10" t="s">
        <v>26</v>
      </c>
      <c r="J260" s="10" t="s">
        <v>27</v>
      </c>
      <c r="K260" s="10" t="str">
        <f ca="1">DATEDIF('DATA PENDUDUK'!$G260,TODAY(),"Y")&amp; " TAHUN"</f>
        <v>57 TAHUN</v>
      </c>
      <c r="L260" s="15" t="s">
        <v>673</v>
      </c>
    </row>
    <row r="261" spans="1:12" ht="20.100000000000001" customHeight="1" x14ac:dyDescent="0.25">
      <c r="A261" s="8">
        <f t="shared" si="3"/>
        <v>258</v>
      </c>
      <c r="B261" s="13" t="s">
        <v>682</v>
      </c>
      <c r="C261" s="13" t="s">
        <v>688</v>
      </c>
      <c r="D261" s="10" t="s">
        <v>689</v>
      </c>
      <c r="E261" s="10" t="s">
        <v>671</v>
      </c>
      <c r="F261" s="10" t="s">
        <v>30</v>
      </c>
      <c r="G261" s="14">
        <v>38114</v>
      </c>
      <c r="H261" s="10" t="s">
        <v>35</v>
      </c>
      <c r="I261" s="10" t="s">
        <v>40</v>
      </c>
      <c r="J261" s="10" t="s">
        <v>32</v>
      </c>
      <c r="K261" s="10" t="str">
        <f ca="1">DATEDIF('DATA PENDUDUK'!$G261,TODAY(),"Y")&amp; " TAHUN"</f>
        <v>21 TAHUN</v>
      </c>
      <c r="L261" s="15" t="s">
        <v>673</v>
      </c>
    </row>
    <row r="262" spans="1:12" ht="20.100000000000001" customHeight="1" x14ac:dyDescent="0.25">
      <c r="A262" s="8">
        <f t="shared" ref="A262:A325" si="4">IF(D262="","",ROW()-3)</f>
        <v>259</v>
      </c>
      <c r="B262" s="13" t="s">
        <v>682</v>
      </c>
      <c r="C262" s="13" t="s">
        <v>690</v>
      </c>
      <c r="D262" s="10" t="s">
        <v>691</v>
      </c>
      <c r="E262" s="10" t="s">
        <v>671</v>
      </c>
      <c r="F262" s="10" t="s">
        <v>30</v>
      </c>
      <c r="G262" s="14">
        <v>39939</v>
      </c>
      <c r="H262" s="10" t="s">
        <v>35</v>
      </c>
      <c r="I262" s="10" t="s">
        <v>31</v>
      </c>
      <c r="J262" s="10" t="s">
        <v>32</v>
      </c>
      <c r="K262" s="10" t="str">
        <f ca="1">DATEDIF('DATA PENDUDUK'!$G262,TODAY(),"Y")&amp; " TAHUN"</f>
        <v>16 TAHUN</v>
      </c>
      <c r="L262" s="15" t="s">
        <v>673</v>
      </c>
    </row>
    <row r="263" spans="1:12" ht="20.100000000000001" customHeight="1" x14ac:dyDescent="0.25">
      <c r="A263" s="8">
        <f t="shared" si="4"/>
        <v>260</v>
      </c>
      <c r="B263" s="13" t="s">
        <v>692</v>
      </c>
      <c r="C263" s="13" t="s">
        <v>693</v>
      </c>
      <c r="D263" s="10" t="s">
        <v>694</v>
      </c>
      <c r="E263" s="10" t="s">
        <v>671</v>
      </c>
      <c r="F263" s="10" t="s">
        <v>695</v>
      </c>
      <c r="G263" s="14">
        <v>32918</v>
      </c>
      <c r="H263" s="10" t="s">
        <v>18</v>
      </c>
      <c r="I263" s="10" t="s">
        <v>19</v>
      </c>
      <c r="J263" s="10" t="s">
        <v>20</v>
      </c>
      <c r="K263" s="10" t="str">
        <f ca="1">DATEDIF('DATA PENDUDUK'!$G263,TODAY(),"Y")&amp; " TAHUN"</f>
        <v>35 TAHUN</v>
      </c>
      <c r="L263" s="15" t="s">
        <v>673</v>
      </c>
    </row>
    <row r="264" spans="1:12" ht="20.100000000000001" customHeight="1" x14ac:dyDescent="0.25">
      <c r="A264" s="8">
        <f t="shared" si="4"/>
        <v>261</v>
      </c>
      <c r="B264" s="13" t="s">
        <v>692</v>
      </c>
      <c r="C264" s="13" t="s">
        <v>696</v>
      </c>
      <c r="D264" s="10" t="s">
        <v>697</v>
      </c>
      <c r="E264" s="10" t="s">
        <v>24</v>
      </c>
      <c r="F264" s="10" t="s">
        <v>698</v>
      </c>
      <c r="G264" s="14">
        <v>32817</v>
      </c>
      <c r="H264" s="10" t="s">
        <v>18</v>
      </c>
      <c r="I264" s="10" t="s">
        <v>19</v>
      </c>
      <c r="J264" s="10" t="s">
        <v>27</v>
      </c>
      <c r="K264" s="10" t="str">
        <f ca="1">DATEDIF('DATA PENDUDUK'!$G264,TODAY(),"Y")&amp; " TAHUN"</f>
        <v>35 TAHUN</v>
      </c>
      <c r="L264" s="15" t="s">
        <v>673</v>
      </c>
    </row>
    <row r="265" spans="1:12" ht="20.100000000000001" customHeight="1" x14ac:dyDescent="0.25">
      <c r="A265" s="8">
        <f t="shared" si="4"/>
        <v>262</v>
      </c>
      <c r="B265" s="13" t="s">
        <v>692</v>
      </c>
      <c r="C265" s="13" t="s">
        <v>699</v>
      </c>
      <c r="D265" s="10" t="s">
        <v>700</v>
      </c>
      <c r="E265" s="10" t="s">
        <v>671</v>
      </c>
      <c r="F265" s="10" t="s">
        <v>30</v>
      </c>
      <c r="G265" s="14">
        <v>41251</v>
      </c>
      <c r="H265" s="10" t="s">
        <v>18</v>
      </c>
      <c r="I265" s="10" t="s">
        <v>31</v>
      </c>
      <c r="J265" s="10" t="s">
        <v>32</v>
      </c>
      <c r="K265" s="10" t="str">
        <f ca="1">DATEDIF('DATA PENDUDUK'!$G265,TODAY(),"Y")&amp; " TAHUN"</f>
        <v>12 TAHUN</v>
      </c>
      <c r="L265" s="15" t="s">
        <v>673</v>
      </c>
    </row>
    <row r="266" spans="1:12" ht="20.100000000000001" customHeight="1" x14ac:dyDescent="0.25">
      <c r="A266" s="8">
        <f t="shared" si="4"/>
        <v>263</v>
      </c>
      <c r="B266" s="13" t="s">
        <v>701</v>
      </c>
      <c r="C266" s="13" t="s">
        <v>702</v>
      </c>
      <c r="D266" s="10" t="s">
        <v>703</v>
      </c>
      <c r="E266" s="10" t="s">
        <v>671</v>
      </c>
      <c r="F266" s="10" t="s">
        <v>704</v>
      </c>
      <c r="G266" s="14">
        <v>30294</v>
      </c>
      <c r="H266" s="10" t="s">
        <v>438</v>
      </c>
      <c r="I266" s="10" t="s">
        <v>36</v>
      </c>
      <c r="J266" s="10" t="s">
        <v>20</v>
      </c>
      <c r="K266" s="10" t="str">
        <f ca="1">DATEDIF('DATA PENDUDUK'!$G266,TODAY(),"Y")&amp; " TAHUN"</f>
        <v>42 TAHUN</v>
      </c>
      <c r="L266" s="15" t="s">
        <v>673</v>
      </c>
    </row>
    <row r="267" spans="1:12" ht="20.100000000000001" customHeight="1" x14ac:dyDescent="0.25">
      <c r="A267" s="8">
        <f t="shared" si="4"/>
        <v>264</v>
      </c>
      <c r="B267" s="13" t="s">
        <v>701</v>
      </c>
      <c r="C267" s="13" t="s">
        <v>705</v>
      </c>
      <c r="D267" s="10" t="s">
        <v>706</v>
      </c>
      <c r="E267" s="10" t="s">
        <v>24</v>
      </c>
      <c r="F267" s="10" t="s">
        <v>707</v>
      </c>
      <c r="G267" s="14">
        <v>30498</v>
      </c>
      <c r="H267" s="10" t="s">
        <v>438</v>
      </c>
      <c r="I267" s="10" t="s">
        <v>36</v>
      </c>
      <c r="J267" s="10" t="s">
        <v>27</v>
      </c>
      <c r="K267" s="10" t="str">
        <f ca="1">DATEDIF('DATA PENDUDUK'!$G267,TODAY(),"Y")&amp; " TAHUN"</f>
        <v>42 TAHUN</v>
      </c>
      <c r="L267" s="15" t="s">
        <v>673</v>
      </c>
    </row>
    <row r="268" spans="1:12" ht="20.100000000000001" customHeight="1" x14ac:dyDescent="0.25">
      <c r="A268" s="8">
        <f t="shared" si="4"/>
        <v>265</v>
      </c>
      <c r="B268" s="13" t="s">
        <v>701</v>
      </c>
      <c r="C268" s="13" t="s">
        <v>708</v>
      </c>
      <c r="D268" s="10" t="s">
        <v>709</v>
      </c>
      <c r="E268" s="10" t="s">
        <v>671</v>
      </c>
      <c r="F268" s="10" t="s">
        <v>704</v>
      </c>
      <c r="G268" s="14">
        <v>38333</v>
      </c>
      <c r="H268" s="10" t="s">
        <v>438</v>
      </c>
      <c r="I268" s="10" t="s">
        <v>40</v>
      </c>
      <c r="J268" s="10" t="s">
        <v>32</v>
      </c>
      <c r="K268" s="10" t="str">
        <f ca="1">DATEDIF('DATA PENDUDUK'!$G268,TODAY(),"Y")&amp; " TAHUN"</f>
        <v>20 TAHUN</v>
      </c>
      <c r="L268" s="15" t="s">
        <v>673</v>
      </c>
    </row>
    <row r="269" spans="1:12" ht="20.100000000000001" customHeight="1" x14ac:dyDescent="0.25">
      <c r="A269" s="8">
        <f t="shared" si="4"/>
        <v>266</v>
      </c>
      <c r="B269" s="13" t="s">
        <v>701</v>
      </c>
      <c r="C269" s="13" t="s">
        <v>710</v>
      </c>
      <c r="D269" s="10" t="s">
        <v>711</v>
      </c>
      <c r="E269" s="10" t="s">
        <v>24</v>
      </c>
      <c r="F269" s="10" t="s">
        <v>30</v>
      </c>
      <c r="G269" s="14">
        <v>41487</v>
      </c>
      <c r="H269" s="10" t="s">
        <v>438</v>
      </c>
      <c r="I269" s="10" t="s">
        <v>31</v>
      </c>
      <c r="J269" s="10" t="s">
        <v>32</v>
      </c>
      <c r="K269" s="10" t="str">
        <f ca="1">DATEDIF('DATA PENDUDUK'!$G269,TODAY(),"Y")&amp; " TAHUN"</f>
        <v>11 TAHUN</v>
      </c>
      <c r="L269" s="15" t="s">
        <v>673</v>
      </c>
    </row>
    <row r="270" spans="1:12" ht="20.100000000000001" customHeight="1" x14ac:dyDescent="0.25">
      <c r="A270" s="8">
        <f t="shared" si="4"/>
        <v>267</v>
      </c>
      <c r="B270" s="13" t="s">
        <v>712</v>
      </c>
      <c r="C270" s="13" t="s">
        <v>713</v>
      </c>
      <c r="D270" s="10" t="s">
        <v>714</v>
      </c>
      <c r="E270" s="10" t="s">
        <v>24</v>
      </c>
      <c r="F270" s="10" t="s">
        <v>681</v>
      </c>
      <c r="G270" s="14">
        <v>33801</v>
      </c>
      <c r="H270" s="10" t="s">
        <v>438</v>
      </c>
      <c r="I270" s="10" t="s">
        <v>26</v>
      </c>
      <c r="J270" s="10" t="s">
        <v>20</v>
      </c>
      <c r="K270" s="10" t="str">
        <f ca="1">DATEDIF('DATA PENDUDUK'!$G270,TODAY(),"Y")&amp; " TAHUN"</f>
        <v>33 TAHUN</v>
      </c>
      <c r="L270" s="15" t="s">
        <v>673</v>
      </c>
    </row>
    <row r="271" spans="1:12" ht="20.100000000000001" customHeight="1" x14ac:dyDescent="0.25">
      <c r="A271" s="8">
        <f t="shared" si="4"/>
        <v>268</v>
      </c>
      <c r="B271" s="13" t="s">
        <v>712</v>
      </c>
      <c r="C271" s="13" t="s">
        <v>715</v>
      </c>
      <c r="D271" s="10" t="s">
        <v>716</v>
      </c>
      <c r="E271" s="10" t="s">
        <v>24</v>
      </c>
      <c r="F271" s="10" t="s">
        <v>30</v>
      </c>
      <c r="G271" s="14">
        <v>40556</v>
      </c>
      <c r="H271" s="10" t="s">
        <v>18</v>
      </c>
      <c r="I271" s="10" t="s">
        <v>31</v>
      </c>
      <c r="J271" s="10" t="s">
        <v>32</v>
      </c>
      <c r="K271" s="10" t="str">
        <f ca="1">DATEDIF('DATA PENDUDUK'!$G271,TODAY(),"Y")&amp; " TAHUN"</f>
        <v>14 TAHUN</v>
      </c>
      <c r="L271" s="15" t="s">
        <v>673</v>
      </c>
    </row>
    <row r="272" spans="1:12" ht="20.100000000000001" customHeight="1" x14ac:dyDescent="0.25">
      <c r="A272" s="8">
        <f t="shared" si="4"/>
        <v>269</v>
      </c>
      <c r="B272" s="13" t="s">
        <v>712</v>
      </c>
      <c r="C272" s="13" t="s">
        <v>717</v>
      </c>
      <c r="D272" s="10" t="s">
        <v>718</v>
      </c>
      <c r="E272" s="10" t="s">
        <v>24</v>
      </c>
      <c r="F272" s="10" t="s">
        <v>30</v>
      </c>
      <c r="G272" s="14">
        <v>42543</v>
      </c>
      <c r="H272" s="10" t="s">
        <v>18</v>
      </c>
      <c r="I272" s="10" t="s">
        <v>31</v>
      </c>
      <c r="J272" s="10" t="s">
        <v>32</v>
      </c>
      <c r="K272" s="10" t="str">
        <f ca="1">DATEDIF('DATA PENDUDUK'!$G272,TODAY(),"Y")&amp; " TAHUN"</f>
        <v>9 TAHUN</v>
      </c>
      <c r="L272" s="15" t="s">
        <v>673</v>
      </c>
    </row>
    <row r="273" spans="1:12" ht="20.100000000000001" customHeight="1" x14ac:dyDescent="0.25">
      <c r="A273" s="8">
        <f t="shared" si="4"/>
        <v>270</v>
      </c>
      <c r="B273" s="13" t="s">
        <v>712</v>
      </c>
      <c r="C273" s="13" t="s">
        <v>719</v>
      </c>
      <c r="D273" s="10" t="s">
        <v>720</v>
      </c>
      <c r="E273" s="10" t="s">
        <v>671</v>
      </c>
      <c r="F273" s="10" t="s">
        <v>30</v>
      </c>
      <c r="G273" s="14">
        <v>44114</v>
      </c>
      <c r="H273" s="10" t="s">
        <v>18</v>
      </c>
      <c r="I273" s="10" t="s">
        <v>40</v>
      </c>
      <c r="J273" s="10" t="s">
        <v>32</v>
      </c>
      <c r="K273" s="10" t="str">
        <f ca="1">DATEDIF('DATA PENDUDUK'!$G273,TODAY(),"Y")&amp; " TAHUN"</f>
        <v>4 TAHUN</v>
      </c>
      <c r="L273" s="15" t="s">
        <v>673</v>
      </c>
    </row>
    <row r="274" spans="1:12" ht="20.100000000000001" customHeight="1" x14ac:dyDescent="0.25">
      <c r="A274" s="8">
        <f t="shared" si="4"/>
        <v>271</v>
      </c>
      <c r="B274" s="13" t="s">
        <v>721</v>
      </c>
      <c r="C274" s="13" t="s">
        <v>722</v>
      </c>
      <c r="D274" s="10" t="s">
        <v>723</v>
      </c>
      <c r="E274" s="10" t="s">
        <v>671</v>
      </c>
      <c r="F274" s="10" t="s">
        <v>724</v>
      </c>
      <c r="G274" s="14">
        <v>27304</v>
      </c>
      <c r="H274" s="10" t="s">
        <v>18</v>
      </c>
      <c r="I274" s="10" t="s">
        <v>19</v>
      </c>
      <c r="J274" s="10" t="s">
        <v>20</v>
      </c>
      <c r="K274" s="10" t="str">
        <f ca="1">DATEDIF('DATA PENDUDUK'!$G274,TODAY(),"Y")&amp; " TAHUN"</f>
        <v>50 TAHUN</v>
      </c>
      <c r="L274" s="15" t="s">
        <v>673</v>
      </c>
    </row>
    <row r="275" spans="1:12" ht="20.100000000000001" customHeight="1" x14ac:dyDescent="0.25">
      <c r="A275" s="8">
        <f t="shared" si="4"/>
        <v>272</v>
      </c>
      <c r="B275" s="13" t="s">
        <v>721</v>
      </c>
      <c r="C275" s="13" t="s">
        <v>725</v>
      </c>
      <c r="D275" s="10" t="s">
        <v>726</v>
      </c>
      <c r="E275" s="10" t="s">
        <v>24</v>
      </c>
      <c r="F275" s="10" t="s">
        <v>727</v>
      </c>
      <c r="G275" s="14">
        <v>27406</v>
      </c>
      <c r="H275" s="10" t="s">
        <v>18</v>
      </c>
      <c r="I275" s="10" t="s">
        <v>26</v>
      </c>
      <c r="J275" s="10" t="s">
        <v>27</v>
      </c>
      <c r="K275" s="10" t="str">
        <f ca="1">DATEDIF('DATA PENDUDUK'!$G275,TODAY(),"Y")&amp; " TAHUN"</f>
        <v>50 TAHUN</v>
      </c>
      <c r="L275" s="15" t="s">
        <v>673</v>
      </c>
    </row>
    <row r="276" spans="1:12" ht="20.100000000000001" customHeight="1" x14ac:dyDescent="0.25">
      <c r="A276" s="8">
        <f t="shared" si="4"/>
        <v>273</v>
      </c>
      <c r="B276" s="13" t="s">
        <v>721</v>
      </c>
      <c r="C276" s="13" t="s">
        <v>728</v>
      </c>
      <c r="D276" s="10" t="s">
        <v>729</v>
      </c>
      <c r="E276" s="10" t="s">
        <v>671</v>
      </c>
      <c r="F276" s="10" t="s">
        <v>730</v>
      </c>
      <c r="G276" s="14">
        <v>40133</v>
      </c>
      <c r="H276" s="10" t="s">
        <v>18</v>
      </c>
      <c r="I276" s="10" t="s">
        <v>31</v>
      </c>
      <c r="J276" s="10" t="s">
        <v>32</v>
      </c>
      <c r="K276" s="10" t="str">
        <f ca="1">DATEDIF('DATA PENDUDUK'!$G276,TODAY(),"Y")&amp; " TAHUN"</f>
        <v>15 TAHUN</v>
      </c>
      <c r="L276" s="15" t="s">
        <v>673</v>
      </c>
    </row>
    <row r="277" spans="1:12" ht="20.100000000000001" customHeight="1" x14ac:dyDescent="0.25">
      <c r="A277" s="8">
        <f t="shared" si="4"/>
        <v>274</v>
      </c>
      <c r="B277" s="13" t="s">
        <v>721</v>
      </c>
      <c r="C277" s="13" t="s">
        <v>731</v>
      </c>
      <c r="D277" s="10" t="s">
        <v>732</v>
      </c>
      <c r="E277" s="10" t="s">
        <v>671</v>
      </c>
      <c r="F277" s="10" t="s">
        <v>134</v>
      </c>
      <c r="G277" s="14">
        <v>31028</v>
      </c>
      <c r="H277" s="10" t="s">
        <v>438</v>
      </c>
      <c r="I277" s="10" t="s">
        <v>73</v>
      </c>
      <c r="J277" s="10" t="s">
        <v>37</v>
      </c>
      <c r="K277" s="10" t="str">
        <f ca="1">DATEDIF('DATA PENDUDUK'!$G277,TODAY(),"Y")&amp; " TAHUN"</f>
        <v>40 TAHUN</v>
      </c>
      <c r="L277" s="15" t="s">
        <v>673</v>
      </c>
    </row>
    <row r="278" spans="1:12" ht="20.100000000000001" customHeight="1" x14ac:dyDescent="0.25">
      <c r="A278" s="8">
        <f t="shared" si="4"/>
        <v>275</v>
      </c>
      <c r="B278" s="13" t="s">
        <v>733</v>
      </c>
      <c r="C278" s="13" t="s">
        <v>734</v>
      </c>
      <c r="D278" s="10" t="s">
        <v>735</v>
      </c>
      <c r="E278" s="10" t="s">
        <v>671</v>
      </c>
      <c r="F278" s="10" t="s">
        <v>30</v>
      </c>
      <c r="G278" s="14">
        <v>33614</v>
      </c>
      <c r="H278" s="10" t="s">
        <v>35</v>
      </c>
      <c r="I278" s="10" t="s">
        <v>542</v>
      </c>
      <c r="J278" s="10" t="s">
        <v>20</v>
      </c>
      <c r="K278" s="10" t="str">
        <f ca="1">DATEDIF('DATA PENDUDUK'!$G278,TODAY(),"Y")&amp; " TAHUN"</f>
        <v>33 TAHUN</v>
      </c>
      <c r="L278" s="15" t="s">
        <v>673</v>
      </c>
    </row>
    <row r="279" spans="1:12" ht="20.100000000000001" customHeight="1" x14ac:dyDescent="0.25">
      <c r="A279" s="8">
        <f t="shared" si="4"/>
        <v>276</v>
      </c>
      <c r="B279" s="13" t="s">
        <v>733</v>
      </c>
      <c r="C279" s="13" t="s">
        <v>736</v>
      </c>
      <c r="D279" s="10" t="s">
        <v>737</v>
      </c>
      <c r="E279" s="10" t="s">
        <v>671</v>
      </c>
      <c r="F279" s="10" t="s">
        <v>30</v>
      </c>
      <c r="G279" s="14">
        <v>42305</v>
      </c>
      <c r="H279" s="10" t="s">
        <v>35</v>
      </c>
      <c r="I279" s="10" t="s">
        <v>31</v>
      </c>
      <c r="J279" s="10" t="s">
        <v>32</v>
      </c>
      <c r="K279" s="10" t="str">
        <f ca="1">DATEDIF('DATA PENDUDUK'!$G279,TODAY(),"Y")&amp; " TAHUN"</f>
        <v>9 TAHUN</v>
      </c>
      <c r="L279" s="15" t="s">
        <v>673</v>
      </c>
    </row>
    <row r="280" spans="1:12" ht="20.100000000000001" customHeight="1" x14ac:dyDescent="0.25">
      <c r="A280" s="8">
        <f t="shared" si="4"/>
        <v>277</v>
      </c>
      <c r="B280" s="13" t="s">
        <v>733</v>
      </c>
      <c r="C280" s="13" t="s">
        <v>738</v>
      </c>
      <c r="D280" s="10" t="s">
        <v>739</v>
      </c>
      <c r="E280" s="10" t="s">
        <v>671</v>
      </c>
      <c r="F280" s="10" t="s">
        <v>30</v>
      </c>
      <c r="G280" s="14">
        <v>42437</v>
      </c>
      <c r="H280" s="10" t="s">
        <v>35</v>
      </c>
      <c r="I280" s="10" t="s">
        <v>31</v>
      </c>
      <c r="J280" s="10" t="s">
        <v>32</v>
      </c>
      <c r="K280" s="10" t="str">
        <f ca="1">DATEDIF('DATA PENDUDUK'!$G280,TODAY(),"Y")&amp; " TAHUN"</f>
        <v>9 TAHUN</v>
      </c>
      <c r="L280" s="15" t="s">
        <v>673</v>
      </c>
    </row>
    <row r="281" spans="1:12" ht="20.100000000000001" customHeight="1" x14ac:dyDescent="0.25">
      <c r="A281" s="8">
        <f t="shared" si="4"/>
        <v>278</v>
      </c>
      <c r="B281" s="13" t="s">
        <v>733</v>
      </c>
      <c r="C281" s="13" t="s">
        <v>740</v>
      </c>
      <c r="D281" s="10" t="s">
        <v>741</v>
      </c>
      <c r="E281" s="10" t="s">
        <v>24</v>
      </c>
      <c r="F281" s="10" t="s">
        <v>742</v>
      </c>
      <c r="G281" s="14">
        <v>34716</v>
      </c>
      <c r="H281" s="10" t="s">
        <v>18</v>
      </c>
      <c r="I281" s="10" t="s">
        <v>19</v>
      </c>
      <c r="J281" s="10" t="s">
        <v>37</v>
      </c>
      <c r="K281" s="10" t="str">
        <f ca="1">DATEDIF('DATA PENDUDUK'!$G281,TODAY(),"Y")&amp; " TAHUN"</f>
        <v>30 TAHUN</v>
      </c>
      <c r="L281" s="15" t="s">
        <v>673</v>
      </c>
    </row>
    <row r="282" spans="1:12" ht="20.100000000000001" customHeight="1" x14ac:dyDescent="0.25">
      <c r="A282" s="8">
        <f t="shared" si="4"/>
        <v>279</v>
      </c>
      <c r="B282" s="13" t="s">
        <v>743</v>
      </c>
      <c r="C282" s="13" t="s">
        <v>744</v>
      </c>
      <c r="D282" s="10" t="s">
        <v>745</v>
      </c>
      <c r="E282" s="10" t="s">
        <v>671</v>
      </c>
      <c r="F282" s="10" t="s">
        <v>746</v>
      </c>
      <c r="G282" s="14">
        <v>27921</v>
      </c>
      <c r="H282" s="10" t="s">
        <v>438</v>
      </c>
      <c r="I282" s="10" t="s">
        <v>747</v>
      </c>
      <c r="J282" s="10" t="s">
        <v>20</v>
      </c>
      <c r="K282" s="10" t="str">
        <f ca="1">DATEDIF('DATA PENDUDUK'!$G282,TODAY(),"Y")&amp; " TAHUN"</f>
        <v>49 TAHUN</v>
      </c>
      <c r="L282" s="15" t="s">
        <v>673</v>
      </c>
    </row>
    <row r="283" spans="1:12" ht="20.100000000000001" customHeight="1" x14ac:dyDescent="0.25">
      <c r="A283" s="8">
        <f t="shared" si="4"/>
        <v>280</v>
      </c>
      <c r="B283" s="13" t="s">
        <v>743</v>
      </c>
      <c r="C283" s="13" t="s">
        <v>748</v>
      </c>
      <c r="D283" s="10" t="s">
        <v>749</v>
      </c>
      <c r="E283" s="10" t="s">
        <v>671</v>
      </c>
      <c r="F283" s="10" t="s">
        <v>681</v>
      </c>
      <c r="G283" s="14">
        <v>33091</v>
      </c>
      <c r="H283" s="10" t="s">
        <v>438</v>
      </c>
      <c r="I283" s="10" t="s">
        <v>40</v>
      </c>
      <c r="J283" s="10" t="s">
        <v>32</v>
      </c>
      <c r="K283" s="10" t="str">
        <f ca="1">DATEDIF('DATA PENDUDUK'!$G283,TODAY(),"Y")&amp; " TAHUN"</f>
        <v>34 TAHUN</v>
      </c>
      <c r="L283" s="15" t="s">
        <v>673</v>
      </c>
    </row>
    <row r="284" spans="1:12" ht="20.100000000000001" customHeight="1" x14ac:dyDescent="0.25">
      <c r="A284" s="8">
        <f t="shared" si="4"/>
        <v>281</v>
      </c>
      <c r="B284" s="13" t="s">
        <v>743</v>
      </c>
      <c r="C284" s="13" t="s">
        <v>750</v>
      </c>
      <c r="D284" s="10" t="s">
        <v>751</v>
      </c>
      <c r="E284" s="10" t="s">
        <v>671</v>
      </c>
      <c r="F284" s="10" t="s">
        <v>30</v>
      </c>
      <c r="G284" s="14">
        <v>35156</v>
      </c>
      <c r="H284" s="10" t="s">
        <v>438</v>
      </c>
      <c r="I284" s="10" t="s">
        <v>40</v>
      </c>
      <c r="J284" s="10" t="s">
        <v>32</v>
      </c>
      <c r="K284" s="10" t="str">
        <f ca="1">DATEDIF('DATA PENDUDUK'!$G284,TODAY(),"Y")&amp; " TAHUN"</f>
        <v>29 TAHUN</v>
      </c>
      <c r="L284" s="15" t="s">
        <v>673</v>
      </c>
    </row>
    <row r="285" spans="1:12" ht="20.100000000000001" customHeight="1" x14ac:dyDescent="0.25">
      <c r="A285" s="8">
        <f t="shared" si="4"/>
        <v>282</v>
      </c>
      <c r="B285" s="13" t="s">
        <v>743</v>
      </c>
      <c r="C285" s="13" t="s">
        <v>752</v>
      </c>
      <c r="D285" s="10" t="s">
        <v>753</v>
      </c>
      <c r="E285" s="10" t="s">
        <v>671</v>
      </c>
      <c r="F285" s="10" t="s">
        <v>30</v>
      </c>
      <c r="G285" s="14">
        <v>35431</v>
      </c>
      <c r="H285" s="10" t="s">
        <v>438</v>
      </c>
      <c r="I285" s="10" t="s">
        <v>40</v>
      </c>
      <c r="J285" s="10" t="s">
        <v>32</v>
      </c>
      <c r="K285" s="10" t="str">
        <f ca="1">DATEDIF('DATA PENDUDUK'!$G285,TODAY(),"Y")&amp; " TAHUN"</f>
        <v>28 TAHUN</v>
      </c>
      <c r="L285" s="15" t="s">
        <v>673</v>
      </c>
    </row>
    <row r="286" spans="1:12" ht="20.100000000000001" customHeight="1" x14ac:dyDescent="0.25">
      <c r="A286" s="8">
        <f t="shared" si="4"/>
        <v>283</v>
      </c>
      <c r="B286" s="13" t="s">
        <v>743</v>
      </c>
      <c r="C286" s="13" t="s">
        <v>754</v>
      </c>
      <c r="D286" s="10" t="s">
        <v>755</v>
      </c>
      <c r="E286" s="10" t="s">
        <v>671</v>
      </c>
      <c r="F286" s="10" t="s">
        <v>30</v>
      </c>
      <c r="G286" s="14">
        <v>36648</v>
      </c>
      <c r="H286" s="10" t="s">
        <v>438</v>
      </c>
      <c r="I286" s="10" t="s">
        <v>40</v>
      </c>
      <c r="J286" s="10" t="s">
        <v>32</v>
      </c>
      <c r="K286" s="10" t="str">
        <f ca="1">DATEDIF('DATA PENDUDUK'!$G286,TODAY(),"Y")&amp; " TAHUN"</f>
        <v>25 TAHUN</v>
      </c>
      <c r="L286" s="15" t="s">
        <v>673</v>
      </c>
    </row>
    <row r="287" spans="1:12" ht="20.100000000000001" customHeight="1" x14ac:dyDescent="0.25">
      <c r="A287" s="8">
        <f t="shared" si="4"/>
        <v>284</v>
      </c>
      <c r="B287" s="13" t="s">
        <v>743</v>
      </c>
      <c r="C287" s="13" t="s">
        <v>756</v>
      </c>
      <c r="D287" s="10" t="s">
        <v>757</v>
      </c>
      <c r="E287" s="10" t="s">
        <v>24</v>
      </c>
      <c r="F287" s="10" t="s">
        <v>376</v>
      </c>
      <c r="G287" s="14">
        <v>38049</v>
      </c>
      <c r="H287" s="10" t="s">
        <v>438</v>
      </c>
      <c r="I287" s="10" t="s">
        <v>40</v>
      </c>
      <c r="J287" s="10" t="s">
        <v>32</v>
      </c>
      <c r="K287" s="10" t="str">
        <f ca="1">DATEDIF('DATA PENDUDUK'!$G287,TODAY(),"Y")&amp; " TAHUN"</f>
        <v>21 TAHUN</v>
      </c>
      <c r="L287" s="15" t="s">
        <v>673</v>
      </c>
    </row>
    <row r="288" spans="1:12" ht="20.100000000000001" customHeight="1" x14ac:dyDescent="0.25">
      <c r="A288" s="8">
        <f t="shared" si="4"/>
        <v>285</v>
      </c>
      <c r="B288" s="13" t="s">
        <v>743</v>
      </c>
      <c r="C288" s="13" t="s">
        <v>758</v>
      </c>
      <c r="D288" s="10" t="s">
        <v>759</v>
      </c>
      <c r="E288" s="10" t="s">
        <v>671</v>
      </c>
      <c r="F288" s="10" t="s">
        <v>30</v>
      </c>
      <c r="G288" s="14">
        <v>38882</v>
      </c>
      <c r="H288" s="10" t="s">
        <v>438</v>
      </c>
      <c r="I288" s="10" t="s">
        <v>31</v>
      </c>
      <c r="J288" s="10" t="s">
        <v>32</v>
      </c>
      <c r="K288" s="10" t="str">
        <f ca="1">DATEDIF('DATA PENDUDUK'!$G288,TODAY(),"Y")&amp; " TAHUN"</f>
        <v>19 TAHUN</v>
      </c>
      <c r="L288" s="15" t="s">
        <v>673</v>
      </c>
    </row>
    <row r="289" spans="1:12" ht="20.100000000000001" customHeight="1" x14ac:dyDescent="0.25">
      <c r="A289" s="8">
        <f t="shared" si="4"/>
        <v>286</v>
      </c>
      <c r="B289" s="13" t="s">
        <v>743</v>
      </c>
      <c r="C289" s="13" t="s">
        <v>760</v>
      </c>
      <c r="D289" s="10" t="s">
        <v>761</v>
      </c>
      <c r="E289" s="10" t="s">
        <v>671</v>
      </c>
      <c r="F289" s="10" t="s">
        <v>30</v>
      </c>
      <c r="G289" s="14">
        <v>38882</v>
      </c>
      <c r="H289" s="10" t="s">
        <v>438</v>
      </c>
      <c r="I289" s="10" t="s">
        <v>31</v>
      </c>
      <c r="J289" s="10" t="s">
        <v>32</v>
      </c>
      <c r="K289" s="10" t="str">
        <f ca="1">DATEDIF('DATA PENDUDUK'!$G289,TODAY(),"Y")&amp; " TAHUN"</f>
        <v>19 TAHUN</v>
      </c>
      <c r="L289" s="15" t="s">
        <v>673</v>
      </c>
    </row>
    <row r="290" spans="1:12" ht="20.100000000000001" customHeight="1" x14ac:dyDescent="0.25">
      <c r="A290" s="8">
        <f t="shared" si="4"/>
        <v>287</v>
      </c>
      <c r="B290" s="13" t="s">
        <v>762</v>
      </c>
      <c r="C290" s="13" t="s">
        <v>763</v>
      </c>
      <c r="D290" s="10" t="s">
        <v>764</v>
      </c>
      <c r="E290" s="10" t="s">
        <v>671</v>
      </c>
      <c r="F290" s="10" t="s">
        <v>765</v>
      </c>
      <c r="G290" s="14">
        <v>23448</v>
      </c>
      <c r="H290" s="10" t="s">
        <v>438</v>
      </c>
      <c r="I290" s="10" t="s">
        <v>19</v>
      </c>
      <c r="J290" s="10" t="s">
        <v>20</v>
      </c>
      <c r="K290" s="10" t="str">
        <f ca="1">DATEDIF('DATA PENDUDUK'!$G290,TODAY(),"Y")&amp; " TAHUN"</f>
        <v>61 TAHUN</v>
      </c>
      <c r="L290" s="15" t="s">
        <v>673</v>
      </c>
    </row>
    <row r="291" spans="1:12" ht="20.100000000000001" customHeight="1" x14ac:dyDescent="0.25">
      <c r="A291" s="8">
        <f t="shared" si="4"/>
        <v>288</v>
      </c>
      <c r="B291" s="13" t="s">
        <v>762</v>
      </c>
      <c r="C291" s="13" t="s">
        <v>766</v>
      </c>
      <c r="D291" s="10" t="s">
        <v>767</v>
      </c>
      <c r="E291" s="10" t="s">
        <v>24</v>
      </c>
      <c r="F291" s="10" t="s">
        <v>768</v>
      </c>
      <c r="G291" s="14">
        <v>27413</v>
      </c>
      <c r="H291" s="10" t="s">
        <v>438</v>
      </c>
      <c r="I291" s="10" t="s">
        <v>26</v>
      </c>
      <c r="J291" s="10" t="s">
        <v>27</v>
      </c>
      <c r="K291" s="10" t="str">
        <f ca="1">DATEDIF('DATA PENDUDUK'!$G291,TODAY(),"Y")&amp; " TAHUN"</f>
        <v>50 TAHUN</v>
      </c>
      <c r="L291" s="15" t="s">
        <v>673</v>
      </c>
    </row>
    <row r="292" spans="1:12" ht="20.100000000000001" customHeight="1" x14ac:dyDescent="0.25">
      <c r="A292" s="8">
        <f t="shared" si="4"/>
        <v>289</v>
      </c>
      <c r="B292" s="13" t="s">
        <v>762</v>
      </c>
      <c r="C292" s="13" t="s">
        <v>769</v>
      </c>
      <c r="D292" s="10" t="s">
        <v>770</v>
      </c>
      <c r="E292" s="10" t="s">
        <v>24</v>
      </c>
      <c r="F292" s="10" t="s">
        <v>681</v>
      </c>
      <c r="G292" s="14">
        <v>35411</v>
      </c>
      <c r="H292" s="10" t="s">
        <v>438</v>
      </c>
      <c r="I292" s="10" t="s">
        <v>40</v>
      </c>
      <c r="J292" s="10" t="s">
        <v>32</v>
      </c>
      <c r="K292" s="10" t="str">
        <f ca="1">DATEDIF('DATA PENDUDUK'!$G292,TODAY(),"Y")&amp; " TAHUN"</f>
        <v>28 TAHUN</v>
      </c>
      <c r="L292" s="15" t="s">
        <v>673</v>
      </c>
    </row>
    <row r="293" spans="1:12" ht="20.100000000000001" customHeight="1" x14ac:dyDescent="0.25">
      <c r="A293" s="8">
        <f t="shared" si="4"/>
        <v>290</v>
      </c>
      <c r="B293" s="13" t="s">
        <v>762</v>
      </c>
      <c r="C293" s="13" t="s">
        <v>771</v>
      </c>
      <c r="D293" s="10" t="s">
        <v>772</v>
      </c>
      <c r="E293" s="10" t="s">
        <v>671</v>
      </c>
      <c r="F293" s="10" t="s">
        <v>30</v>
      </c>
      <c r="G293" s="14">
        <v>36506</v>
      </c>
      <c r="H293" s="10" t="s">
        <v>438</v>
      </c>
      <c r="I293" s="10" t="s">
        <v>40</v>
      </c>
      <c r="J293" s="10" t="s">
        <v>32</v>
      </c>
      <c r="K293" s="10" t="str">
        <f ca="1">DATEDIF('DATA PENDUDUK'!$G293,TODAY(),"Y")&amp; " TAHUN"</f>
        <v>25 TAHUN</v>
      </c>
      <c r="L293" s="15" t="s">
        <v>673</v>
      </c>
    </row>
    <row r="294" spans="1:12" ht="20.100000000000001" customHeight="1" x14ac:dyDescent="0.25">
      <c r="A294" s="8">
        <f t="shared" si="4"/>
        <v>291</v>
      </c>
      <c r="B294" s="13" t="s">
        <v>762</v>
      </c>
      <c r="C294" s="13" t="s">
        <v>773</v>
      </c>
      <c r="D294" s="10" t="s">
        <v>774</v>
      </c>
      <c r="E294" s="10" t="s">
        <v>24</v>
      </c>
      <c r="F294" s="10" t="s">
        <v>30</v>
      </c>
      <c r="G294" s="14">
        <v>36571</v>
      </c>
      <c r="H294" s="10" t="s">
        <v>438</v>
      </c>
      <c r="I294" s="10" t="s">
        <v>40</v>
      </c>
      <c r="J294" s="10" t="s">
        <v>32</v>
      </c>
      <c r="K294" s="10" t="str">
        <f ca="1">DATEDIF('DATA PENDUDUK'!$G294,TODAY(),"Y")&amp; " TAHUN"</f>
        <v>25 TAHUN</v>
      </c>
      <c r="L294" s="15" t="s">
        <v>673</v>
      </c>
    </row>
    <row r="295" spans="1:12" ht="20.100000000000001" customHeight="1" x14ac:dyDescent="0.25">
      <c r="A295" s="8">
        <f t="shared" si="4"/>
        <v>292</v>
      </c>
      <c r="B295" s="13" t="s">
        <v>762</v>
      </c>
      <c r="C295" s="13" t="s">
        <v>775</v>
      </c>
      <c r="D295" s="10" t="s">
        <v>776</v>
      </c>
      <c r="E295" s="10" t="s">
        <v>671</v>
      </c>
      <c r="F295" s="10" t="s">
        <v>30</v>
      </c>
      <c r="G295" s="14">
        <v>39194</v>
      </c>
      <c r="H295" s="10" t="s">
        <v>438</v>
      </c>
      <c r="I295" s="10" t="s">
        <v>31</v>
      </c>
      <c r="J295" s="10" t="s">
        <v>32</v>
      </c>
      <c r="K295" s="10" t="str">
        <f ca="1">DATEDIF('DATA PENDUDUK'!$G295,TODAY(),"Y")&amp; " TAHUN"</f>
        <v>18 TAHUN</v>
      </c>
      <c r="L295" s="15" t="s">
        <v>673</v>
      </c>
    </row>
    <row r="296" spans="1:12" ht="20.100000000000001" customHeight="1" x14ac:dyDescent="0.25">
      <c r="A296" s="8">
        <f t="shared" si="4"/>
        <v>293</v>
      </c>
      <c r="B296" s="13" t="s">
        <v>777</v>
      </c>
      <c r="C296" s="13" t="s">
        <v>778</v>
      </c>
      <c r="D296" s="10" t="s">
        <v>779</v>
      </c>
      <c r="E296" s="10" t="s">
        <v>671</v>
      </c>
      <c r="F296" s="10" t="s">
        <v>780</v>
      </c>
      <c r="G296" s="14">
        <v>32824</v>
      </c>
      <c r="H296" s="10" t="s">
        <v>438</v>
      </c>
      <c r="I296" s="10" t="s">
        <v>40</v>
      </c>
      <c r="J296" s="10" t="s">
        <v>20</v>
      </c>
      <c r="K296" s="10" t="str">
        <f ca="1">DATEDIF('DATA PENDUDUK'!$G296,TODAY(),"Y")&amp; " TAHUN"</f>
        <v>35 TAHUN</v>
      </c>
      <c r="L296" s="15" t="s">
        <v>673</v>
      </c>
    </row>
    <row r="297" spans="1:12" ht="20.100000000000001" customHeight="1" x14ac:dyDescent="0.25">
      <c r="A297" s="8">
        <f t="shared" si="4"/>
        <v>294</v>
      </c>
      <c r="B297" s="13" t="s">
        <v>777</v>
      </c>
      <c r="C297" s="13" t="s">
        <v>781</v>
      </c>
      <c r="D297" s="10" t="s">
        <v>782</v>
      </c>
      <c r="E297" s="10" t="s">
        <v>24</v>
      </c>
      <c r="F297" s="10" t="s">
        <v>783</v>
      </c>
      <c r="G297" s="14">
        <v>33674</v>
      </c>
      <c r="H297" s="10" t="s">
        <v>18</v>
      </c>
      <c r="I297" s="10" t="s">
        <v>40</v>
      </c>
      <c r="J297" s="10" t="s">
        <v>27</v>
      </c>
      <c r="K297" s="10" t="str">
        <f ca="1">DATEDIF('DATA PENDUDUK'!$G297,TODAY(),"Y")&amp; " TAHUN"</f>
        <v>33 TAHUN</v>
      </c>
      <c r="L297" s="15" t="s">
        <v>673</v>
      </c>
    </row>
    <row r="298" spans="1:12" ht="20.100000000000001" customHeight="1" x14ac:dyDescent="0.25">
      <c r="A298" s="8">
        <f t="shared" si="4"/>
        <v>295</v>
      </c>
      <c r="B298" s="13" t="s">
        <v>777</v>
      </c>
      <c r="C298" s="13" t="s">
        <v>784</v>
      </c>
      <c r="D298" s="10" t="s">
        <v>785</v>
      </c>
      <c r="E298" s="10" t="s">
        <v>24</v>
      </c>
      <c r="F298" s="10" t="s">
        <v>30</v>
      </c>
      <c r="G298" s="14">
        <v>41313</v>
      </c>
      <c r="H298" s="10" t="s">
        <v>438</v>
      </c>
      <c r="I298" s="10" t="s">
        <v>31</v>
      </c>
      <c r="J298" s="10" t="s">
        <v>32</v>
      </c>
      <c r="K298" s="10" t="str">
        <f ca="1">DATEDIF('DATA PENDUDUK'!$G298,TODAY(),"Y")&amp; " TAHUN"</f>
        <v>12 TAHUN</v>
      </c>
      <c r="L298" s="15" t="s">
        <v>673</v>
      </c>
    </row>
    <row r="299" spans="1:12" ht="20.100000000000001" customHeight="1" x14ac:dyDescent="0.25">
      <c r="A299" s="8">
        <f t="shared" si="4"/>
        <v>296</v>
      </c>
      <c r="B299" s="13" t="s">
        <v>786</v>
      </c>
      <c r="C299" s="13" t="s">
        <v>787</v>
      </c>
      <c r="D299" s="10" t="s">
        <v>788</v>
      </c>
      <c r="E299" s="10" t="s">
        <v>671</v>
      </c>
      <c r="F299" s="10" t="s">
        <v>780</v>
      </c>
      <c r="G299" s="14">
        <v>28288</v>
      </c>
      <c r="H299" s="10" t="s">
        <v>438</v>
      </c>
      <c r="I299" s="10" t="s">
        <v>789</v>
      </c>
      <c r="J299" s="10" t="s">
        <v>20</v>
      </c>
      <c r="K299" s="10" t="str">
        <f ca="1">DATEDIF('DATA PENDUDUK'!$G299,TODAY(),"Y")&amp; " TAHUN"</f>
        <v>48 TAHUN</v>
      </c>
      <c r="L299" s="15" t="s">
        <v>673</v>
      </c>
    </row>
    <row r="300" spans="1:12" ht="20.100000000000001" customHeight="1" x14ac:dyDescent="0.25">
      <c r="A300" s="8">
        <f t="shared" si="4"/>
        <v>297</v>
      </c>
      <c r="B300" s="13" t="s">
        <v>786</v>
      </c>
      <c r="C300" s="13" t="s">
        <v>790</v>
      </c>
      <c r="D300" s="10" t="s">
        <v>791</v>
      </c>
      <c r="E300" s="10" t="s">
        <v>24</v>
      </c>
      <c r="F300" s="10" t="s">
        <v>792</v>
      </c>
      <c r="G300" s="14">
        <v>35612</v>
      </c>
      <c r="H300" s="10" t="s">
        <v>438</v>
      </c>
      <c r="I300" s="10" t="s">
        <v>36</v>
      </c>
      <c r="J300" s="10" t="s">
        <v>27</v>
      </c>
      <c r="K300" s="10" t="str">
        <f ca="1">DATEDIF('DATA PENDUDUK'!$G300,TODAY(),"Y")&amp; " TAHUN"</f>
        <v>28 TAHUN</v>
      </c>
      <c r="L300" s="15" t="s">
        <v>673</v>
      </c>
    </row>
    <row r="301" spans="1:12" ht="20.100000000000001" customHeight="1" x14ac:dyDescent="0.25">
      <c r="A301" s="8">
        <f t="shared" si="4"/>
        <v>298</v>
      </c>
      <c r="B301" s="13" t="s">
        <v>786</v>
      </c>
      <c r="C301" s="13" t="s">
        <v>793</v>
      </c>
      <c r="D301" s="10" t="s">
        <v>794</v>
      </c>
      <c r="E301" s="10" t="s">
        <v>671</v>
      </c>
      <c r="F301" s="10" t="s">
        <v>376</v>
      </c>
      <c r="G301" s="14">
        <v>42416</v>
      </c>
      <c r="H301" s="10" t="s">
        <v>438</v>
      </c>
      <c r="I301" s="10" t="s">
        <v>31</v>
      </c>
      <c r="J301" s="10" t="s">
        <v>32</v>
      </c>
      <c r="K301" s="10" t="str">
        <f ca="1">DATEDIF('DATA PENDUDUK'!$G301,TODAY(),"Y")&amp; " TAHUN"</f>
        <v>9 TAHUN</v>
      </c>
      <c r="L301" s="15" t="s">
        <v>673</v>
      </c>
    </row>
    <row r="302" spans="1:12" ht="20.100000000000001" customHeight="1" x14ac:dyDescent="0.25">
      <c r="A302" s="8">
        <f t="shared" si="4"/>
        <v>299</v>
      </c>
      <c r="B302" s="13" t="s">
        <v>786</v>
      </c>
      <c r="C302" s="13" t="s">
        <v>795</v>
      </c>
      <c r="D302" s="10" t="s">
        <v>796</v>
      </c>
      <c r="E302" s="10" t="s">
        <v>24</v>
      </c>
      <c r="F302" s="10" t="s">
        <v>797</v>
      </c>
      <c r="G302" s="14">
        <v>43351</v>
      </c>
      <c r="H302" s="10" t="s">
        <v>438</v>
      </c>
      <c r="I302" s="10" t="s">
        <v>40</v>
      </c>
      <c r="J302" s="10" t="s">
        <v>32</v>
      </c>
      <c r="K302" s="10" t="str">
        <f ca="1">DATEDIF('DATA PENDUDUK'!$G302,TODAY(),"Y")&amp; " TAHUN"</f>
        <v>6 TAHUN</v>
      </c>
      <c r="L302" s="15" t="s">
        <v>673</v>
      </c>
    </row>
    <row r="303" spans="1:12" ht="20.100000000000001" customHeight="1" x14ac:dyDescent="0.25">
      <c r="A303" s="8">
        <f t="shared" si="4"/>
        <v>300</v>
      </c>
      <c r="B303" s="13" t="s">
        <v>786</v>
      </c>
      <c r="C303" s="13" t="s">
        <v>798</v>
      </c>
      <c r="D303" s="10" t="s">
        <v>799</v>
      </c>
      <c r="E303" s="10" t="s">
        <v>24</v>
      </c>
      <c r="F303" s="10" t="s">
        <v>30</v>
      </c>
      <c r="G303" s="14">
        <v>43351</v>
      </c>
      <c r="H303" s="10" t="s">
        <v>438</v>
      </c>
      <c r="I303" s="10" t="s">
        <v>40</v>
      </c>
      <c r="J303" s="10" t="s">
        <v>32</v>
      </c>
      <c r="K303" s="10" t="str">
        <f ca="1">DATEDIF('DATA PENDUDUK'!$G303,TODAY(),"Y")&amp; " TAHUN"</f>
        <v>6 TAHUN</v>
      </c>
      <c r="L303" s="15" t="s">
        <v>673</v>
      </c>
    </row>
    <row r="304" spans="1:12" ht="20.100000000000001" customHeight="1" x14ac:dyDescent="0.25">
      <c r="A304" s="8">
        <f t="shared" si="4"/>
        <v>301</v>
      </c>
      <c r="B304" s="13" t="s">
        <v>800</v>
      </c>
      <c r="C304" s="13" t="s">
        <v>801</v>
      </c>
      <c r="D304" s="10" t="s">
        <v>802</v>
      </c>
      <c r="E304" s="10" t="s">
        <v>671</v>
      </c>
      <c r="F304" s="10" t="s">
        <v>780</v>
      </c>
      <c r="G304" s="14">
        <v>29346</v>
      </c>
      <c r="H304" s="10" t="s">
        <v>438</v>
      </c>
      <c r="I304" s="10" t="s">
        <v>162</v>
      </c>
      <c r="J304" s="10" t="s">
        <v>20</v>
      </c>
      <c r="K304" s="10" t="str">
        <f ca="1">DATEDIF('DATA PENDUDUK'!$G304,TODAY(),"Y")&amp; " TAHUN"</f>
        <v>45 TAHUN</v>
      </c>
      <c r="L304" s="15" t="s">
        <v>673</v>
      </c>
    </row>
    <row r="305" spans="1:12" ht="20.100000000000001" customHeight="1" x14ac:dyDescent="0.25">
      <c r="A305" s="8">
        <f t="shared" si="4"/>
        <v>302</v>
      </c>
      <c r="B305" s="13" t="s">
        <v>800</v>
      </c>
      <c r="C305" s="13" t="s">
        <v>803</v>
      </c>
      <c r="D305" s="10" t="s">
        <v>804</v>
      </c>
      <c r="E305" s="10" t="s">
        <v>24</v>
      </c>
      <c r="F305" s="10" t="s">
        <v>780</v>
      </c>
      <c r="G305" s="14">
        <v>31448</v>
      </c>
      <c r="H305" s="10" t="s">
        <v>438</v>
      </c>
      <c r="I305" s="10" t="s">
        <v>26</v>
      </c>
      <c r="J305" s="10" t="s">
        <v>27</v>
      </c>
      <c r="K305" s="10" t="str">
        <f ca="1">DATEDIF('DATA PENDUDUK'!$G305,TODAY(),"Y")&amp; " TAHUN"</f>
        <v>39 TAHUN</v>
      </c>
      <c r="L305" s="15" t="s">
        <v>673</v>
      </c>
    </row>
    <row r="306" spans="1:12" ht="20.100000000000001" customHeight="1" x14ac:dyDescent="0.25">
      <c r="A306" s="8">
        <f t="shared" si="4"/>
        <v>303</v>
      </c>
      <c r="B306" s="13" t="s">
        <v>800</v>
      </c>
      <c r="C306" s="13" t="s">
        <v>805</v>
      </c>
      <c r="D306" s="10" t="s">
        <v>806</v>
      </c>
      <c r="E306" s="10" t="s">
        <v>24</v>
      </c>
      <c r="F306" s="10" t="s">
        <v>30</v>
      </c>
      <c r="G306" s="14">
        <v>39150</v>
      </c>
      <c r="H306" s="10" t="s">
        <v>438</v>
      </c>
      <c r="I306" s="10" t="s">
        <v>31</v>
      </c>
      <c r="J306" s="10" t="s">
        <v>32</v>
      </c>
      <c r="K306" s="10" t="str">
        <f ca="1">DATEDIF('DATA PENDUDUK'!$G306,TODAY(),"Y")&amp; " TAHUN"</f>
        <v>18 TAHUN</v>
      </c>
      <c r="L306" s="15" t="s">
        <v>673</v>
      </c>
    </row>
    <row r="307" spans="1:12" ht="20.100000000000001" customHeight="1" x14ac:dyDescent="0.25">
      <c r="A307" s="8">
        <f t="shared" si="4"/>
        <v>304</v>
      </c>
      <c r="B307" s="13" t="s">
        <v>800</v>
      </c>
      <c r="C307" s="13" t="s">
        <v>807</v>
      </c>
      <c r="D307" s="10" t="s">
        <v>808</v>
      </c>
      <c r="E307" s="10" t="s">
        <v>671</v>
      </c>
      <c r="F307" s="10" t="s">
        <v>780</v>
      </c>
      <c r="G307" s="14">
        <v>39911</v>
      </c>
      <c r="H307" s="10" t="s">
        <v>438</v>
      </c>
      <c r="I307" s="10" t="s">
        <v>31</v>
      </c>
      <c r="J307" s="10" t="s">
        <v>32</v>
      </c>
      <c r="K307" s="10" t="str">
        <f ca="1">DATEDIF('DATA PENDUDUK'!$G307,TODAY(),"Y")&amp; " TAHUN"</f>
        <v>16 TAHUN</v>
      </c>
      <c r="L307" s="15" t="s">
        <v>673</v>
      </c>
    </row>
    <row r="308" spans="1:12" ht="20.100000000000001" customHeight="1" x14ac:dyDescent="0.25">
      <c r="A308" s="8">
        <f t="shared" si="4"/>
        <v>305</v>
      </c>
      <c r="B308" s="13" t="s">
        <v>800</v>
      </c>
      <c r="C308" s="13" t="s">
        <v>809</v>
      </c>
      <c r="D308" s="10" t="s">
        <v>810</v>
      </c>
      <c r="E308" s="10" t="s">
        <v>24</v>
      </c>
      <c r="F308" s="10" t="s">
        <v>780</v>
      </c>
      <c r="G308" s="14">
        <v>41795</v>
      </c>
      <c r="H308" s="10" t="s">
        <v>438</v>
      </c>
      <c r="I308" s="10" t="s">
        <v>31</v>
      </c>
      <c r="J308" s="10" t="s">
        <v>32</v>
      </c>
      <c r="K308" s="10" t="str">
        <f ca="1">DATEDIF('DATA PENDUDUK'!$G308,TODAY(),"Y")&amp; " TAHUN"</f>
        <v>11 TAHUN</v>
      </c>
      <c r="L308" s="15" t="s">
        <v>673</v>
      </c>
    </row>
    <row r="309" spans="1:12" ht="20.100000000000001" customHeight="1" x14ac:dyDescent="0.25">
      <c r="A309" s="8">
        <f t="shared" si="4"/>
        <v>306</v>
      </c>
      <c r="B309" s="13" t="s">
        <v>800</v>
      </c>
      <c r="C309" s="13" t="s">
        <v>811</v>
      </c>
      <c r="D309" s="10" t="s">
        <v>812</v>
      </c>
      <c r="E309" s="10" t="s">
        <v>671</v>
      </c>
      <c r="F309" s="10" t="s">
        <v>780</v>
      </c>
      <c r="G309" s="14">
        <v>35893</v>
      </c>
      <c r="H309" s="10" t="s">
        <v>438</v>
      </c>
      <c r="I309" s="10" t="s">
        <v>19</v>
      </c>
      <c r="J309" s="10" t="s">
        <v>37</v>
      </c>
      <c r="K309" s="10" t="str">
        <f ca="1">DATEDIF('DATA PENDUDUK'!$G309,TODAY(),"Y")&amp; " TAHUN"</f>
        <v>27 TAHUN</v>
      </c>
      <c r="L309" s="15" t="s">
        <v>673</v>
      </c>
    </row>
    <row r="310" spans="1:12" ht="20.100000000000001" customHeight="1" x14ac:dyDescent="0.25">
      <c r="A310" s="8">
        <f t="shared" si="4"/>
        <v>307</v>
      </c>
      <c r="B310" s="13" t="s">
        <v>813</v>
      </c>
      <c r="C310" s="13" t="s">
        <v>814</v>
      </c>
      <c r="D310" s="10" t="s">
        <v>815</v>
      </c>
      <c r="E310" s="10" t="s">
        <v>24</v>
      </c>
      <c r="F310" s="10" t="s">
        <v>366</v>
      </c>
      <c r="G310" s="14">
        <v>24324</v>
      </c>
      <c r="H310" s="10" t="s">
        <v>18</v>
      </c>
      <c r="I310" s="10" t="s">
        <v>162</v>
      </c>
      <c r="J310" s="10" t="s">
        <v>20</v>
      </c>
      <c r="K310" s="10" t="str">
        <f ca="1">DATEDIF('DATA PENDUDUK'!$G310,TODAY(),"Y")&amp; " TAHUN"</f>
        <v>58 TAHUN</v>
      </c>
      <c r="L310" s="15" t="s">
        <v>673</v>
      </c>
    </row>
    <row r="311" spans="1:12" ht="20.100000000000001" customHeight="1" x14ac:dyDescent="0.25">
      <c r="A311" s="8">
        <f t="shared" si="4"/>
        <v>308</v>
      </c>
      <c r="B311" s="13" t="s">
        <v>813</v>
      </c>
      <c r="C311" s="13" t="s">
        <v>816</v>
      </c>
      <c r="D311" s="10" t="s">
        <v>817</v>
      </c>
      <c r="E311" s="10" t="s">
        <v>24</v>
      </c>
      <c r="F311" s="10" t="s">
        <v>818</v>
      </c>
      <c r="G311" s="14">
        <v>35944</v>
      </c>
      <c r="H311" s="10" t="s">
        <v>18</v>
      </c>
      <c r="I311" s="10" t="s">
        <v>40</v>
      </c>
      <c r="J311" s="10" t="s">
        <v>32</v>
      </c>
      <c r="K311" s="10" t="str">
        <f ca="1">DATEDIF('DATA PENDUDUK'!$G311,TODAY(),"Y")&amp; " TAHUN"</f>
        <v>27 TAHUN</v>
      </c>
      <c r="L311" s="15" t="s">
        <v>673</v>
      </c>
    </row>
    <row r="312" spans="1:12" ht="20.100000000000001" customHeight="1" x14ac:dyDescent="0.25">
      <c r="A312" s="8">
        <f t="shared" si="4"/>
        <v>309</v>
      </c>
      <c r="B312" s="13" t="s">
        <v>813</v>
      </c>
      <c r="C312" s="13" t="s">
        <v>819</v>
      </c>
      <c r="D312" s="10" t="s">
        <v>820</v>
      </c>
      <c r="E312" s="10" t="s">
        <v>24</v>
      </c>
      <c r="F312" s="10" t="s">
        <v>376</v>
      </c>
      <c r="G312" s="14">
        <v>39848</v>
      </c>
      <c r="H312" s="10" t="s">
        <v>18</v>
      </c>
      <c r="I312" s="10" t="s">
        <v>31</v>
      </c>
      <c r="J312" s="10" t="s">
        <v>32</v>
      </c>
      <c r="K312" s="10" t="str">
        <f ca="1">DATEDIF('DATA PENDUDUK'!$G312,TODAY(),"Y")&amp; " TAHUN"</f>
        <v>16 TAHUN</v>
      </c>
      <c r="L312" s="15" t="s">
        <v>673</v>
      </c>
    </row>
    <row r="313" spans="1:12" ht="20.100000000000001" customHeight="1" x14ac:dyDescent="0.25">
      <c r="A313" s="8">
        <f t="shared" si="4"/>
        <v>310</v>
      </c>
      <c r="B313" s="13" t="s">
        <v>821</v>
      </c>
      <c r="C313" s="13" t="s">
        <v>822</v>
      </c>
      <c r="D313" s="10" t="s">
        <v>823</v>
      </c>
      <c r="E313" s="10" t="s">
        <v>671</v>
      </c>
      <c r="F313" s="10" t="s">
        <v>780</v>
      </c>
      <c r="G313" s="14">
        <v>30421</v>
      </c>
      <c r="H313" s="10" t="s">
        <v>438</v>
      </c>
      <c r="I313" s="10" t="s">
        <v>162</v>
      </c>
      <c r="J313" s="10" t="s">
        <v>20</v>
      </c>
      <c r="K313" s="10" t="str">
        <f ca="1">DATEDIF('DATA PENDUDUK'!$G313,TODAY(),"Y")&amp; " TAHUN"</f>
        <v>42 TAHUN</v>
      </c>
      <c r="L313" s="15" t="s">
        <v>673</v>
      </c>
    </row>
    <row r="314" spans="1:12" ht="20.100000000000001" customHeight="1" x14ac:dyDescent="0.25">
      <c r="A314" s="8">
        <f t="shared" si="4"/>
        <v>311</v>
      </c>
      <c r="B314" s="13" t="s">
        <v>821</v>
      </c>
      <c r="C314" s="13" t="s">
        <v>824</v>
      </c>
      <c r="D314" s="10" t="s">
        <v>825</v>
      </c>
      <c r="E314" s="10" t="s">
        <v>24</v>
      </c>
      <c r="F314" s="10" t="s">
        <v>768</v>
      </c>
      <c r="G314" s="14">
        <v>30717</v>
      </c>
      <c r="H314" s="10" t="s">
        <v>18</v>
      </c>
      <c r="I314" s="10" t="s">
        <v>162</v>
      </c>
      <c r="J314" s="10" t="s">
        <v>27</v>
      </c>
      <c r="K314" s="10" t="str">
        <f ca="1">DATEDIF('DATA PENDUDUK'!$G314,TODAY(),"Y")&amp; " TAHUN"</f>
        <v>41 TAHUN</v>
      </c>
      <c r="L314" s="15" t="s">
        <v>673</v>
      </c>
    </row>
    <row r="315" spans="1:12" ht="20.100000000000001" customHeight="1" x14ac:dyDescent="0.25">
      <c r="A315" s="8">
        <f t="shared" si="4"/>
        <v>312</v>
      </c>
      <c r="B315" s="13" t="s">
        <v>821</v>
      </c>
      <c r="C315" s="13" t="s">
        <v>826</v>
      </c>
      <c r="D315" s="10" t="s">
        <v>827</v>
      </c>
      <c r="E315" s="10" t="s">
        <v>24</v>
      </c>
      <c r="F315" s="10" t="s">
        <v>30</v>
      </c>
      <c r="G315" s="14">
        <v>39490</v>
      </c>
      <c r="H315" s="10" t="s">
        <v>438</v>
      </c>
      <c r="I315" s="10" t="s">
        <v>31</v>
      </c>
      <c r="J315" s="10" t="s">
        <v>32</v>
      </c>
      <c r="K315" s="10" t="str">
        <f ca="1">DATEDIF('DATA PENDUDUK'!$G315,TODAY(),"Y")&amp; " TAHUN"</f>
        <v>17 TAHUN</v>
      </c>
      <c r="L315" s="15" t="s">
        <v>673</v>
      </c>
    </row>
    <row r="316" spans="1:12" ht="20.100000000000001" customHeight="1" x14ac:dyDescent="0.25">
      <c r="A316" s="8">
        <f t="shared" si="4"/>
        <v>313</v>
      </c>
      <c r="B316" s="13" t="s">
        <v>821</v>
      </c>
      <c r="C316" s="13" t="s">
        <v>828</v>
      </c>
      <c r="D316" s="10" t="s">
        <v>829</v>
      </c>
      <c r="E316" s="10" t="s">
        <v>24</v>
      </c>
      <c r="F316" s="10" t="s">
        <v>30</v>
      </c>
      <c r="G316" s="14">
        <v>39758</v>
      </c>
      <c r="H316" s="10" t="s">
        <v>438</v>
      </c>
      <c r="I316" s="10" t="s">
        <v>31</v>
      </c>
      <c r="J316" s="10" t="s">
        <v>32</v>
      </c>
      <c r="K316" s="10" t="str">
        <f ca="1">DATEDIF('DATA PENDUDUK'!$G316,TODAY(),"Y")&amp; " TAHUN"</f>
        <v>16 TAHUN</v>
      </c>
      <c r="L316" s="15" t="s">
        <v>673</v>
      </c>
    </row>
    <row r="317" spans="1:12" ht="20.100000000000001" customHeight="1" x14ac:dyDescent="0.25">
      <c r="A317" s="8">
        <f t="shared" si="4"/>
        <v>314</v>
      </c>
      <c r="B317" s="13" t="s">
        <v>821</v>
      </c>
      <c r="C317" s="13" t="s">
        <v>830</v>
      </c>
      <c r="D317" s="10" t="s">
        <v>831</v>
      </c>
      <c r="E317" s="10" t="s">
        <v>24</v>
      </c>
      <c r="F317" s="10" t="s">
        <v>30</v>
      </c>
      <c r="G317" s="14">
        <v>39758</v>
      </c>
      <c r="H317" s="10" t="s">
        <v>438</v>
      </c>
      <c r="I317" s="10" t="s">
        <v>31</v>
      </c>
      <c r="J317" s="10" t="s">
        <v>32</v>
      </c>
      <c r="K317" s="10" t="str">
        <f ca="1">DATEDIF('DATA PENDUDUK'!$G317,TODAY(),"Y")&amp; " TAHUN"</f>
        <v>16 TAHUN</v>
      </c>
      <c r="L317" s="15" t="s">
        <v>673</v>
      </c>
    </row>
    <row r="318" spans="1:12" ht="20.100000000000001" customHeight="1" x14ac:dyDescent="0.25">
      <c r="A318" s="8">
        <f t="shared" si="4"/>
        <v>315</v>
      </c>
      <c r="B318" s="13" t="s">
        <v>821</v>
      </c>
      <c r="C318" s="13" t="s">
        <v>832</v>
      </c>
      <c r="D318" s="10" t="s">
        <v>833</v>
      </c>
      <c r="E318" s="10" t="s">
        <v>24</v>
      </c>
      <c r="F318" s="10" t="s">
        <v>30</v>
      </c>
      <c r="G318" s="14">
        <v>41049</v>
      </c>
      <c r="H318" s="10" t="s">
        <v>438</v>
      </c>
      <c r="I318" s="10" t="s">
        <v>31</v>
      </c>
      <c r="J318" s="10" t="s">
        <v>32</v>
      </c>
      <c r="K318" s="10" t="str">
        <f ca="1">DATEDIF('DATA PENDUDUK'!$G318,TODAY(),"Y")&amp; " TAHUN"</f>
        <v>13 TAHUN</v>
      </c>
      <c r="L318" s="15" t="s">
        <v>673</v>
      </c>
    </row>
    <row r="319" spans="1:12" ht="20.100000000000001" customHeight="1" x14ac:dyDescent="0.25">
      <c r="A319" s="8">
        <f t="shared" si="4"/>
        <v>316</v>
      </c>
      <c r="B319" s="13" t="s">
        <v>821</v>
      </c>
      <c r="C319" s="13" t="s">
        <v>834</v>
      </c>
      <c r="D319" s="10" t="s">
        <v>835</v>
      </c>
      <c r="E319" s="10" t="s">
        <v>671</v>
      </c>
      <c r="F319" s="10" t="s">
        <v>30</v>
      </c>
      <c r="G319" s="14">
        <v>42462</v>
      </c>
      <c r="H319" s="10" t="s">
        <v>438</v>
      </c>
      <c r="I319" s="10" t="s">
        <v>31</v>
      </c>
      <c r="J319" s="10" t="s">
        <v>32</v>
      </c>
      <c r="K319" s="10" t="str">
        <f ca="1">DATEDIF('DATA PENDUDUK'!$G319,TODAY(),"Y")&amp; " TAHUN"</f>
        <v>9 TAHUN</v>
      </c>
      <c r="L319" s="15" t="s">
        <v>673</v>
      </c>
    </row>
    <row r="320" spans="1:12" ht="20.100000000000001" customHeight="1" x14ac:dyDescent="0.25">
      <c r="A320" s="8">
        <f t="shared" si="4"/>
        <v>317</v>
      </c>
      <c r="B320" s="13" t="s">
        <v>821</v>
      </c>
      <c r="C320" s="13" t="s">
        <v>836</v>
      </c>
      <c r="D320" s="10" t="s">
        <v>837</v>
      </c>
      <c r="E320" s="10" t="s">
        <v>671</v>
      </c>
      <c r="F320" s="10" t="s">
        <v>780</v>
      </c>
      <c r="G320" s="14">
        <v>34795</v>
      </c>
      <c r="H320" s="10" t="s">
        <v>438</v>
      </c>
      <c r="I320" s="10" t="s">
        <v>40</v>
      </c>
      <c r="J320" s="10" t="s">
        <v>37</v>
      </c>
      <c r="K320" s="10" t="str">
        <f ca="1">DATEDIF('DATA PENDUDUK'!$G320,TODAY(),"Y")&amp; " TAHUN"</f>
        <v>30 TAHUN</v>
      </c>
      <c r="L320" s="15" t="s">
        <v>673</v>
      </c>
    </row>
    <row r="321" spans="1:12" ht="20.100000000000001" customHeight="1" x14ac:dyDescent="0.25">
      <c r="A321" s="8">
        <f t="shared" si="4"/>
        <v>318</v>
      </c>
      <c r="B321" s="16" t="s">
        <v>821</v>
      </c>
      <c r="C321" s="16" t="s">
        <v>838</v>
      </c>
      <c r="D321" s="17" t="s">
        <v>839</v>
      </c>
      <c r="E321" s="17" t="s">
        <v>671</v>
      </c>
      <c r="F321" s="17" t="s">
        <v>840</v>
      </c>
      <c r="G321" s="18">
        <v>37021</v>
      </c>
      <c r="H321" s="17" t="s">
        <v>438</v>
      </c>
      <c r="I321" s="17" t="s">
        <v>40</v>
      </c>
      <c r="J321" s="17" t="s">
        <v>37</v>
      </c>
      <c r="K321" s="10" t="str">
        <f ca="1">DATEDIF('DATA PENDUDUK'!$G321,TODAY(),"Y")&amp; " TAHUN"</f>
        <v>24 TAHUN</v>
      </c>
      <c r="L321" s="19" t="s">
        <v>673</v>
      </c>
    </row>
    <row r="322" spans="1:12" ht="20.100000000000001" customHeight="1" x14ac:dyDescent="0.25">
      <c r="A322" s="8">
        <f t="shared" si="4"/>
        <v>319</v>
      </c>
      <c r="B322" s="20" t="s">
        <v>841</v>
      </c>
      <c r="C322" s="20" t="s">
        <v>842</v>
      </c>
      <c r="D322" s="17" t="s">
        <v>843</v>
      </c>
      <c r="E322" s="17" t="s">
        <v>671</v>
      </c>
      <c r="F322" s="17" t="s">
        <v>366</v>
      </c>
      <c r="G322" s="18">
        <v>26577</v>
      </c>
      <c r="H322" s="17" t="s">
        <v>18</v>
      </c>
      <c r="I322" s="17" t="s">
        <v>36</v>
      </c>
      <c r="J322" s="17" t="s">
        <v>20</v>
      </c>
      <c r="K322" s="10" t="str">
        <f ca="1">DATEDIF('DATA PENDUDUK'!$G322,TODAY(),"Y")&amp; " TAHUN"</f>
        <v>52 TAHUN</v>
      </c>
      <c r="L322" s="19" t="s">
        <v>673</v>
      </c>
    </row>
    <row r="323" spans="1:12" ht="20.100000000000001" customHeight="1" x14ac:dyDescent="0.25">
      <c r="A323" s="8">
        <f t="shared" si="4"/>
        <v>320</v>
      </c>
      <c r="B323" s="20" t="s">
        <v>841</v>
      </c>
      <c r="C323" s="20" t="s">
        <v>844</v>
      </c>
      <c r="D323" s="17" t="s">
        <v>845</v>
      </c>
      <c r="E323" s="17" t="s">
        <v>24</v>
      </c>
      <c r="F323" s="17" t="s">
        <v>846</v>
      </c>
      <c r="G323" s="18">
        <v>27191</v>
      </c>
      <c r="H323" s="17" t="s">
        <v>18</v>
      </c>
      <c r="I323" s="17" t="s">
        <v>26</v>
      </c>
      <c r="J323" s="17" t="s">
        <v>27</v>
      </c>
      <c r="K323" s="10" t="str">
        <f ca="1">DATEDIF('DATA PENDUDUK'!$G323,TODAY(),"Y")&amp; " TAHUN"</f>
        <v>51 TAHUN</v>
      </c>
      <c r="L323" s="19" t="s">
        <v>673</v>
      </c>
    </row>
    <row r="324" spans="1:12" ht="20.100000000000001" customHeight="1" x14ac:dyDescent="0.25">
      <c r="A324" s="8">
        <f t="shared" si="4"/>
        <v>321</v>
      </c>
      <c r="B324" s="20" t="s">
        <v>841</v>
      </c>
      <c r="C324" s="20" t="s">
        <v>847</v>
      </c>
      <c r="D324" s="17" t="s">
        <v>848</v>
      </c>
      <c r="E324" s="17" t="s">
        <v>24</v>
      </c>
      <c r="F324" s="17" t="s">
        <v>366</v>
      </c>
      <c r="G324" s="18">
        <v>35749</v>
      </c>
      <c r="H324" s="17" t="s">
        <v>18</v>
      </c>
      <c r="I324" s="17" t="s">
        <v>26</v>
      </c>
      <c r="J324" s="17" t="s">
        <v>32</v>
      </c>
      <c r="K324" s="10" t="str">
        <f ca="1">DATEDIF('DATA PENDUDUK'!$G324,TODAY(),"Y")&amp; " TAHUN"</f>
        <v>27 TAHUN</v>
      </c>
      <c r="L324" s="19" t="s">
        <v>673</v>
      </c>
    </row>
    <row r="325" spans="1:12" ht="20.100000000000001" customHeight="1" x14ac:dyDescent="0.25">
      <c r="A325" s="8">
        <f t="shared" si="4"/>
        <v>322</v>
      </c>
      <c r="B325" s="20" t="s">
        <v>841</v>
      </c>
      <c r="C325" s="20" t="s">
        <v>849</v>
      </c>
      <c r="D325" s="17" t="s">
        <v>850</v>
      </c>
      <c r="E325" s="17" t="s">
        <v>24</v>
      </c>
      <c r="F325" s="17" t="s">
        <v>366</v>
      </c>
      <c r="G325" s="18">
        <v>38483</v>
      </c>
      <c r="H325" s="17" t="s">
        <v>18</v>
      </c>
      <c r="I325" s="17" t="s">
        <v>40</v>
      </c>
      <c r="J325" s="17" t="s">
        <v>32</v>
      </c>
      <c r="K325" s="10" t="str">
        <f ca="1">DATEDIF('DATA PENDUDUK'!$G325,TODAY(),"Y")&amp; " TAHUN"</f>
        <v>20 TAHUN</v>
      </c>
      <c r="L325" s="19" t="s">
        <v>673</v>
      </c>
    </row>
    <row r="326" spans="1:12" ht="20.100000000000001" customHeight="1" x14ac:dyDescent="0.25">
      <c r="A326" s="8">
        <f t="shared" ref="A326:A389" si="5">IF(D326="","",ROW()-3)</f>
        <v>323</v>
      </c>
      <c r="B326" s="20" t="s">
        <v>841</v>
      </c>
      <c r="C326" s="20" t="s">
        <v>851</v>
      </c>
      <c r="D326" s="17" t="s">
        <v>852</v>
      </c>
      <c r="E326" s="17" t="s">
        <v>671</v>
      </c>
      <c r="F326" s="17" t="s">
        <v>366</v>
      </c>
      <c r="G326" s="18">
        <v>40450</v>
      </c>
      <c r="H326" s="17" t="s">
        <v>18</v>
      </c>
      <c r="I326" s="17" t="s">
        <v>31</v>
      </c>
      <c r="J326" s="17" t="s">
        <v>32</v>
      </c>
      <c r="K326" s="10" t="str">
        <f ca="1">DATEDIF('DATA PENDUDUK'!$G326,TODAY(),"Y")&amp; " TAHUN"</f>
        <v>14 TAHUN</v>
      </c>
      <c r="L326" s="19" t="s">
        <v>673</v>
      </c>
    </row>
    <row r="327" spans="1:12" ht="20.100000000000001" customHeight="1" x14ac:dyDescent="0.25">
      <c r="A327" s="8">
        <f t="shared" si="5"/>
        <v>324</v>
      </c>
      <c r="B327" s="20" t="s">
        <v>841</v>
      </c>
      <c r="C327" s="20" t="s">
        <v>853</v>
      </c>
      <c r="D327" s="17" t="s">
        <v>854</v>
      </c>
      <c r="E327" s="17" t="s">
        <v>671</v>
      </c>
      <c r="F327" s="17" t="s">
        <v>366</v>
      </c>
      <c r="G327" s="18">
        <v>42875</v>
      </c>
      <c r="H327" s="17" t="s">
        <v>18</v>
      </c>
      <c r="I327" s="17" t="s">
        <v>31</v>
      </c>
      <c r="J327" s="17" t="s">
        <v>32</v>
      </c>
      <c r="K327" s="10" t="str">
        <f ca="1">DATEDIF('DATA PENDUDUK'!$G327,TODAY(),"Y")&amp; " TAHUN"</f>
        <v>8 TAHUN</v>
      </c>
      <c r="L327" s="19" t="s">
        <v>673</v>
      </c>
    </row>
    <row r="328" spans="1:12" ht="20.100000000000001" customHeight="1" x14ac:dyDescent="0.25">
      <c r="A328" s="8">
        <f t="shared" si="5"/>
        <v>325</v>
      </c>
      <c r="B328" s="20" t="s">
        <v>841</v>
      </c>
      <c r="C328" s="20" t="s">
        <v>855</v>
      </c>
      <c r="D328" s="17" t="s">
        <v>856</v>
      </c>
      <c r="E328" s="17" t="s">
        <v>671</v>
      </c>
      <c r="F328" s="17" t="s">
        <v>30</v>
      </c>
      <c r="G328" s="18">
        <v>43870</v>
      </c>
      <c r="H328" s="17" t="s">
        <v>18</v>
      </c>
      <c r="I328" s="17" t="s">
        <v>40</v>
      </c>
      <c r="J328" s="17" t="s">
        <v>32</v>
      </c>
      <c r="K328" s="10" t="str">
        <f ca="1">DATEDIF('DATA PENDUDUK'!$G328,TODAY(),"Y")&amp; " TAHUN"</f>
        <v>5 TAHUN</v>
      </c>
      <c r="L328" s="19" t="s">
        <v>673</v>
      </c>
    </row>
    <row r="329" spans="1:12" ht="20.100000000000001" customHeight="1" x14ac:dyDescent="0.25">
      <c r="A329" s="8">
        <f t="shared" si="5"/>
        <v>326</v>
      </c>
      <c r="B329" s="20" t="s">
        <v>857</v>
      </c>
      <c r="C329" s="20" t="s">
        <v>858</v>
      </c>
      <c r="D329" s="17" t="s">
        <v>859</v>
      </c>
      <c r="E329" s="17" t="s">
        <v>671</v>
      </c>
      <c r="F329" s="17" t="s">
        <v>860</v>
      </c>
      <c r="G329" s="18">
        <v>22041</v>
      </c>
      <c r="H329" s="17" t="s">
        <v>438</v>
      </c>
      <c r="I329" s="17" t="s">
        <v>19</v>
      </c>
      <c r="J329" s="17" t="s">
        <v>20</v>
      </c>
      <c r="K329" s="10" t="str">
        <f ca="1">DATEDIF('DATA PENDUDUK'!$G329,TODAY(),"Y")&amp; " TAHUN"</f>
        <v>65 TAHUN</v>
      </c>
      <c r="L329" s="19" t="s">
        <v>673</v>
      </c>
    </row>
    <row r="330" spans="1:12" ht="20.100000000000001" customHeight="1" x14ac:dyDescent="0.25">
      <c r="A330" s="8">
        <f t="shared" si="5"/>
        <v>327</v>
      </c>
      <c r="B330" s="20" t="s">
        <v>857</v>
      </c>
      <c r="C330" s="20" t="s">
        <v>861</v>
      </c>
      <c r="D330" s="17" t="s">
        <v>862</v>
      </c>
      <c r="E330" s="17" t="s">
        <v>24</v>
      </c>
      <c r="F330" s="17" t="s">
        <v>863</v>
      </c>
      <c r="G330" s="18">
        <v>25385</v>
      </c>
      <c r="H330" s="17" t="s">
        <v>438</v>
      </c>
      <c r="I330" s="17" t="s">
        <v>26</v>
      </c>
      <c r="J330" s="17" t="s">
        <v>27</v>
      </c>
      <c r="K330" s="10" t="str">
        <f ca="1">DATEDIF('DATA PENDUDUK'!$G330,TODAY(),"Y")&amp; " TAHUN"</f>
        <v>56 TAHUN</v>
      </c>
      <c r="L330" s="19" t="s">
        <v>673</v>
      </c>
    </row>
    <row r="331" spans="1:12" ht="20.100000000000001" customHeight="1" x14ac:dyDescent="0.25">
      <c r="A331" s="8">
        <f t="shared" si="5"/>
        <v>328</v>
      </c>
      <c r="B331" s="20" t="s">
        <v>857</v>
      </c>
      <c r="C331" s="20" t="s">
        <v>864</v>
      </c>
      <c r="D331" s="17" t="s">
        <v>865</v>
      </c>
      <c r="E331" s="17" t="s">
        <v>24</v>
      </c>
      <c r="F331" s="17" t="s">
        <v>866</v>
      </c>
      <c r="G331" s="18">
        <v>30171</v>
      </c>
      <c r="H331" s="17" t="s">
        <v>438</v>
      </c>
      <c r="I331" s="17" t="s">
        <v>19</v>
      </c>
      <c r="J331" s="17" t="s">
        <v>32</v>
      </c>
      <c r="K331" s="10" t="str">
        <f ca="1">DATEDIF('DATA PENDUDUK'!$G331,TODAY(),"Y")&amp; " TAHUN"</f>
        <v>42 TAHUN</v>
      </c>
      <c r="L331" s="19" t="s">
        <v>673</v>
      </c>
    </row>
    <row r="332" spans="1:12" ht="20.100000000000001" customHeight="1" x14ac:dyDescent="0.25">
      <c r="A332" s="8">
        <f t="shared" si="5"/>
        <v>329</v>
      </c>
      <c r="B332" s="20" t="s">
        <v>857</v>
      </c>
      <c r="C332" s="20" t="s">
        <v>867</v>
      </c>
      <c r="D332" s="17" t="s">
        <v>868</v>
      </c>
      <c r="E332" s="17" t="s">
        <v>671</v>
      </c>
      <c r="F332" s="17" t="s">
        <v>869</v>
      </c>
      <c r="G332" s="18">
        <v>30796</v>
      </c>
      <c r="H332" s="17" t="s">
        <v>438</v>
      </c>
      <c r="I332" s="17" t="s">
        <v>19</v>
      </c>
      <c r="J332" s="17" t="s">
        <v>32</v>
      </c>
      <c r="K332" s="10" t="str">
        <f ca="1">DATEDIF('DATA PENDUDUK'!$G332,TODAY(),"Y")&amp; " TAHUN"</f>
        <v>41 TAHUN</v>
      </c>
      <c r="L332" s="19" t="s">
        <v>673</v>
      </c>
    </row>
    <row r="333" spans="1:12" ht="20.100000000000001" customHeight="1" x14ac:dyDescent="0.25">
      <c r="A333" s="8">
        <f t="shared" si="5"/>
        <v>330</v>
      </c>
      <c r="B333" s="20" t="s">
        <v>857</v>
      </c>
      <c r="C333" s="20" t="s">
        <v>870</v>
      </c>
      <c r="D333" s="17" t="s">
        <v>871</v>
      </c>
      <c r="E333" s="17" t="s">
        <v>671</v>
      </c>
      <c r="F333" s="17" t="s">
        <v>681</v>
      </c>
      <c r="G333" s="18">
        <v>31795</v>
      </c>
      <c r="H333" s="17" t="s">
        <v>438</v>
      </c>
      <c r="I333" s="17" t="s">
        <v>40</v>
      </c>
      <c r="J333" s="17" t="s">
        <v>32</v>
      </c>
      <c r="K333" s="10" t="str">
        <f ca="1">DATEDIF('DATA PENDUDUK'!$G333,TODAY(),"Y")&amp; " TAHUN"</f>
        <v>38 TAHUN</v>
      </c>
      <c r="L333" s="19" t="s">
        <v>673</v>
      </c>
    </row>
    <row r="334" spans="1:12" ht="20.100000000000001" customHeight="1" x14ac:dyDescent="0.25">
      <c r="A334" s="8">
        <f t="shared" si="5"/>
        <v>331</v>
      </c>
      <c r="B334" s="20" t="s">
        <v>857</v>
      </c>
      <c r="C334" s="20" t="s">
        <v>872</v>
      </c>
      <c r="D334" s="17" t="s">
        <v>873</v>
      </c>
      <c r="E334" s="17" t="s">
        <v>24</v>
      </c>
      <c r="F334" s="17" t="s">
        <v>780</v>
      </c>
      <c r="G334" s="18">
        <v>32932</v>
      </c>
      <c r="H334" s="17" t="s">
        <v>438</v>
      </c>
      <c r="I334" s="17" t="s">
        <v>40</v>
      </c>
      <c r="J334" s="17" t="s">
        <v>32</v>
      </c>
      <c r="K334" s="10" t="str">
        <f ca="1">DATEDIF('DATA PENDUDUK'!$G334,TODAY(),"Y")&amp; " TAHUN"</f>
        <v>35 TAHUN</v>
      </c>
      <c r="L334" s="19" t="s">
        <v>673</v>
      </c>
    </row>
    <row r="335" spans="1:12" ht="20.100000000000001" customHeight="1" x14ac:dyDescent="0.25">
      <c r="A335" s="8">
        <f t="shared" si="5"/>
        <v>332</v>
      </c>
      <c r="B335" s="20" t="s">
        <v>857</v>
      </c>
      <c r="C335" s="20" t="s">
        <v>874</v>
      </c>
      <c r="D335" s="17" t="s">
        <v>875</v>
      </c>
      <c r="E335" s="17" t="s">
        <v>24</v>
      </c>
      <c r="F335" s="17" t="s">
        <v>681</v>
      </c>
      <c r="G335" s="18">
        <v>33636</v>
      </c>
      <c r="H335" s="17" t="s">
        <v>438</v>
      </c>
      <c r="I335" s="17" t="s">
        <v>40</v>
      </c>
      <c r="J335" s="17" t="s">
        <v>32</v>
      </c>
      <c r="K335" s="10" t="str">
        <f ca="1">DATEDIF('DATA PENDUDUK'!$G335,TODAY(),"Y")&amp; " TAHUN"</f>
        <v>33 TAHUN</v>
      </c>
      <c r="L335" s="19" t="s">
        <v>673</v>
      </c>
    </row>
    <row r="336" spans="1:12" ht="20.100000000000001" customHeight="1" x14ac:dyDescent="0.25">
      <c r="A336" s="8">
        <f t="shared" si="5"/>
        <v>333</v>
      </c>
      <c r="B336" s="20" t="s">
        <v>857</v>
      </c>
      <c r="C336" s="20" t="s">
        <v>876</v>
      </c>
      <c r="D336" s="17" t="s">
        <v>877</v>
      </c>
      <c r="E336" s="17" t="s">
        <v>671</v>
      </c>
      <c r="F336" s="17" t="s">
        <v>30</v>
      </c>
      <c r="G336" s="18">
        <v>34606</v>
      </c>
      <c r="H336" s="17" t="s">
        <v>438</v>
      </c>
      <c r="I336" s="17" t="s">
        <v>40</v>
      </c>
      <c r="J336" s="17" t="s">
        <v>32</v>
      </c>
      <c r="K336" s="10" t="str">
        <f ca="1">DATEDIF('DATA PENDUDUK'!$G336,TODAY(),"Y")&amp; " TAHUN"</f>
        <v>30 TAHUN</v>
      </c>
      <c r="L336" s="19" t="s">
        <v>673</v>
      </c>
    </row>
    <row r="337" spans="1:12" ht="20.100000000000001" customHeight="1" x14ac:dyDescent="0.25">
      <c r="A337" s="8">
        <f t="shared" si="5"/>
        <v>334</v>
      </c>
      <c r="B337" s="20" t="s">
        <v>857</v>
      </c>
      <c r="C337" s="20" t="s">
        <v>878</v>
      </c>
      <c r="D337" s="17" t="s">
        <v>879</v>
      </c>
      <c r="E337" s="17" t="s">
        <v>24</v>
      </c>
      <c r="F337" s="17" t="s">
        <v>30</v>
      </c>
      <c r="G337" s="18">
        <v>36509</v>
      </c>
      <c r="H337" s="17" t="s">
        <v>438</v>
      </c>
      <c r="I337" s="17" t="s">
        <v>40</v>
      </c>
      <c r="J337" s="17" t="s">
        <v>32</v>
      </c>
      <c r="K337" s="10" t="str">
        <f ca="1">DATEDIF('DATA PENDUDUK'!$G337,TODAY(),"Y")&amp; " TAHUN"</f>
        <v>25 TAHUN</v>
      </c>
      <c r="L337" s="19" t="s">
        <v>673</v>
      </c>
    </row>
    <row r="338" spans="1:12" ht="20.100000000000001" customHeight="1" x14ac:dyDescent="0.25">
      <c r="A338" s="8">
        <f t="shared" si="5"/>
        <v>335</v>
      </c>
      <c r="B338" s="20" t="s">
        <v>857</v>
      </c>
      <c r="C338" s="20" t="s">
        <v>880</v>
      </c>
      <c r="D338" s="17" t="s">
        <v>881</v>
      </c>
      <c r="E338" s="17" t="s">
        <v>24</v>
      </c>
      <c r="F338" s="17" t="s">
        <v>30</v>
      </c>
      <c r="G338" s="18">
        <v>37670</v>
      </c>
      <c r="H338" s="17" t="s">
        <v>438</v>
      </c>
      <c r="I338" s="17" t="s">
        <v>40</v>
      </c>
      <c r="J338" s="17" t="s">
        <v>32</v>
      </c>
      <c r="K338" s="10" t="str">
        <f ca="1">DATEDIF('DATA PENDUDUK'!$G338,TODAY(),"Y")&amp; " TAHUN"</f>
        <v>22 TAHUN</v>
      </c>
      <c r="L338" s="19" t="s">
        <v>673</v>
      </c>
    </row>
    <row r="339" spans="1:12" ht="20.100000000000001" customHeight="1" x14ac:dyDescent="0.25">
      <c r="A339" s="8">
        <f t="shared" si="5"/>
        <v>336</v>
      </c>
      <c r="B339" s="20" t="s">
        <v>882</v>
      </c>
      <c r="C339" s="20" t="s">
        <v>883</v>
      </c>
      <c r="D339" s="17" t="s">
        <v>884</v>
      </c>
      <c r="E339" s="17" t="s">
        <v>671</v>
      </c>
      <c r="F339" s="17" t="s">
        <v>885</v>
      </c>
      <c r="G339" s="18">
        <v>32541</v>
      </c>
      <c r="H339" s="17" t="s">
        <v>18</v>
      </c>
      <c r="I339" s="17" t="s">
        <v>19</v>
      </c>
      <c r="J339" s="17" t="s">
        <v>20</v>
      </c>
      <c r="K339" s="10" t="str">
        <f ca="1">DATEDIF('DATA PENDUDUK'!$G339,TODAY(),"Y")&amp; " TAHUN"</f>
        <v>36 TAHUN</v>
      </c>
      <c r="L339" s="19" t="s">
        <v>673</v>
      </c>
    </row>
    <row r="340" spans="1:12" ht="20.100000000000001" customHeight="1" x14ac:dyDescent="0.25">
      <c r="A340" s="8">
        <f t="shared" si="5"/>
        <v>337</v>
      </c>
      <c r="B340" s="20" t="s">
        <v>882</v>
      </c>
      <c r="C340" s="20" t="s">
        <v>713</v>
      </c>
      <c r="D340" s="17" t="s">
        <v>714</v>
      </c>
      <c r="E340" s="17" t="s">
        <v>24</v>
      </c>
      <c r="F340" s="17" t="s">
        <v>681</v>
      </c>
      <c r="G340" s="18">
        <v>33801</v>
      </c>
      <c r="H340" s="17" t="s">
        <v>438</v>
      </c>
      <c r="I340" s="17" t="s">
        <v>26</v>
      </c>
      <c r="J340" s="17" t="s">
        <v>27</v>
      </c>
      <c r="K340" s="10" t="str">
        <f ca="1">DATEDIF('DATA PENDUDUK'!$G340,TODAY(),"Y")&amp; " TAHUN"</f>
        <v>33 TAHUN</v>
      </c>
      <c r="L340" s="19" t="s">
        <v>673</v>
      </c>
    </row>
    <row r="341" spans="1:12" ht="20.100000000000001" customHeight="1" x14ac:dyDescent="0.25">
      <c r="A341" s="8">
        <f t="shared" si="5"/>
        <v>338</v>
      </c>
      <c r="B341" s="20" t="s">
        <v>882</v>
      </c>
      <c r="C341" s="20" t="s">
        <v>715</v>
      </c>
      <c r="D341" s="17" t="s">
        <v>716</v>
      </c>
      <c r="E341" s="17" t="s">
        <v>24</v>
      </c>
      <c r="F341" s="17" t="s">
        <v>30</v>
      </c>
      <c r="G341" s="18">
        <v>40725</v>
      </c>
      <c r="H341" s="17" t="s">
        <v>18</v>
      </c>
      <c r="I341" s="17" t="s">
        <v>31</v>
      </c>
      <c r="J341" s="17" t="s">
        <v>32</v>
      </c>
      <c r="K341" s="10" t="str">
        <f ca="1">DATEDIF('DATA PENDUDUK'!$G341,TODAY(),"Y")&amp; " TAHUN"</f>
        <v>14 TAHUN</v>
      </c>
      <c r="L341" s="19" t="s">
        <v>673</v>
      </c>
    </row>
    <row r="342" spans="1:12" ht="20.100000000000001" customHeight="1" x14ac:dyDescent="0.25">
      <c r="A342" s="8">
        <f t="shared" si="5"/>
        <v>339</v>
      </c>
      <c r="B342" s="20" t="s">
        <v>882</v>
      </c>
      <c r="C342" s="20" t="s">
        <v>717</v>
      </c>
      <c r="D342" s="17" t="s">
        <v>718</v>
      </c>
      <c r="E342" s="17" t="s">
        <v>24</v>
      </c>
      <c r="F342" s="17" t="s">
        <v>30</v>
      </c>
      <c r="G342" s="18">
        <v>42543</v>
      </c>
      <c r="H342" s="17" t="s">
        <v>18</v>
      </c>
      <c r="I342" s="17" t="s">
        <v>31</v>
      </c>
      <c r="J342" s="17" t="s">
        <v>32</v>
      </c>
      <c r="K342" s="10" t="str">
        <f ca="1">DATEDIF('DATA PENDUDUK'!$G342,TODAY(),"Y")&amp; " TAHUN"</f>
        <v>9 TAHUN</v>
      </c>
      <c r="L342" s="19" t="s">
        <v>673</v>
      </c>
    </row>
    <row r="343" spans="1:12" ht="20.100000000000001" customHeight="1" x14ac:dyDescent="0.25">
      <c r="A343" s="8">
        <f t="shared" si="5"/>
        <v>340</v>
      </c>
      <c r="B343" s="20" t="s">
        <v>886</v>
      </c>
      <c r="C343" s="20" t="s">
        <v>887</v>
      </c>
      <c r="D343" s="17" t="s">
        <v>888</v>
      </c>
      <c r="E343" s="17" t="s">
        <v>671</v>
      </c>
      <c r="F343" s="17" t="s">
        <v>889</v>
      </c>
      <c r="G343" s="18">
        <v>25702</v>
      </c>
      <c r="H343" s="17" t="s">
        <v>438</v>
      </c>
      <c r="I343" s="17" t="s">
        <v>73</v>
      </c>
      <c r="J343" s="17" t="s">
        <v>20</v>
      </c>
      <c r="K343" s="10" t="str">
        <f ca="1">DATEDIF('DATA PENDUDUK'!$G343,TODAY(),"Y")&amp; " TAHUN"</f>
        <v>55 TAHUN</v>
      </c>
      <c r="L343" s="19" t="s">
        <v>673</v>
      </c>
    </row>
    <row r="344" spans="1:12" ht="20.100000000000001" customHeight="1" x14ac:dyDescent="0.25">
      <c r="A344" s="8">
        <f t="shared" si="5"/>
        <v>341</v>
      </c>
      <c r="B344" s="20" t="s">
        <v>886</v>
      </c>
      <c r="C344" s="20" t="s">
        <v>890</v>
      </c>
      <c r="D344" s="17" t="s">
        <v>891</v>
      </c>
      <c r="E344" s="17" t="s">
        <v>24</v>
      </c>
      <c r="F344" s="17" t="s">
        <v>846</v>
      </c>
      <c r="G344" s="18">
        <v>27119</v>
      </c>
      <c r="H344" s="17" t="s">
        <v>438</v>
      </c>
      <c r="I344" s="17" t="s">
        <v>26</v>
      </c>
      <c r="J344" s="17" t="s">
        <v>27</v>
      </c>
      <c r="K344" s="10" t="str">
        <f ca="1">DATEDIF('DATA PENDUDUK'!$G344,TODAY(),"Y")&amp; " TAHUN"</f>
        <v>51 TAHUN</v>
      </c>
      <c r="L344" s="19" t="s">
        <v>673</v>
      </c>
    </row>
    <row r="345" spans="1:12" ht="20.100000000000001" customHeight="1" x14ac:dyDescent="0.25">
      <c r="A345" s="8">
        <f t="shared" si="5"/>
        <v>342</v>
      </c>
      <c r="B345" s="20" t="s">
        <v>886</v>
      </c>
      <c r="C345" s="20" t="s">
        <v>892</v>
      </c>
      <c r="D345" s="17" t="s">
        <v>893</v>
      </c>
      <c r="E345" s="17" t="s">
        <v>24</v>
      </c>
      <c r="F345" s="17" t="s">
        <v>30</v>
      </c>
      <c r="G345" s="18">
        <v>38401</v>
      </c>
      <c r="H345" s="17" t="s">
        <v>438</v>
      </c>
      <c r="I345" s="17" t="s">
        <v>40</v>
      </c>
      <c r="J345" s="17" t="s">
        <v>32</v>
      </c>
      <c r="K345" s="10" t="str">
        <f ca="1">DATEDIF('DATA PENDUDUK'!$G345,TODAY(),"Y")&amp; " TAHUN"</f>
        <v>20 TAHUN</v>
      </c>
      <c r="L345" s="19" t="s">
        <v>673</v>
      </c>
    </row>
    <row r="346" spans="1:12" ht="20.100000000000001" customHeight="1" x14ac:dyDescent="0.25">
      <c r="A346" s="8">
        <f t="shared" si="5"/>
        <v>343</v>
      </c>
      <c r="B346" s="20" t="s">
        <v>886</v>
      </c>
      <c r="C346" s="20" t="s">
        <v>894</v>
      </c>
      <c r="D346" s="17" t="s">
        <v>895</v>
      </c>
      <c r="E346" s="17" t="s">
        <v>671</v>
      </c>
      <c r="F346" s="17" t="s">
        <v>30</v>
      </c>
      <c r="G346" s="18">
        <v>39859</v>
      </c>
      <c r="H346" s="17" t="s">
        <v>438</v>
      </c>
      <c r="I346" s="17" t="s">
        <v>31</v>
      </c>
      <c r="J346" s="17" t="s">
        <v>32</v>
      </c>
      <c r="K346" s="10" t="str">
        <f ca="1">DATEDIF('DATA PENDUDUK'!$G346,TODAY(),"Y")&amp; " TAHUN"</f>
        <v>16 TAHUN</v>
      </c>
      <c r="L346" s="19" t="s">
        <v>673</v>
      </c>
    </row>
    <row r="347" spans="1:12" ht="20.100000000000001" customHeight="1" x14ac:dyDescent="0.25">
      <c r="A347" s="8">
        <f t="shared" si="5"/>
        <v>344</v>
      </c>
      <c r="B347" s="20" t="s">
        <v>886</v>
      </c>
      <c r="C347" s="20" t="s">
        <v>896</v>
      </c>
      <c r="D347" s="17" t="s">
        <v>897</v>
      </c>
      <c r="E347" s="17" t="s">
        <v>671</v>
      </c>
      <c r="F347" s="17" t="s">
        <v>30</v>
      </c>
      <c r="G347" s="18">
        <v>40569</v>
      </c>
      <c r="H347" s="17" t="s">
        <v>438</v>
      </c>
      <c r="I347" s="17" t="s">
        <v>31</v>
      </c>
      <c r="J347" s="17" t="s">
        <v>32</v>
      </c>
      <c r="K347" s="10" t="str">
        <f ca="1">DATEDIF('DATA PENDUDUK'!$G347,TODAY(),"Y")&amp; " TAHUN"</f>
        <v>14 TAHUN</v>
      </c>
      <c r="L347" s="19" t="s">
        <v>673</v>
      </c>
    </row>
    <row r="348" spans="1:12" ht="20.100000000000001" customHeight="1" x14ac:dyDescent="0.25">
      <c r="A348" s="8">
        <f t="shared" si="5"/>
        <v>345</v>
      </c>
      <c r="B348" s="20" t="s">
        <v>886</v>
      </c>
      <c r="C348" s="20" t="s">
        <v>898</v>
      </c>
      <c r="D348" s="17" t="s">
        <v>899</v>
      </c>
      <c r="E348" s="17" t="s">
        <v>671</v>
      </c>
      <c r="F348" s="17" t="s">
        <v>30</v>
      </c>
      <c r="G348" s="18">
        <v>35085</v>
      </c>
      <c r="H348" s="17" t="s">
        <v>438</v>
      </c>
      <c r="I348" s="17" t="s">
        <v>19</v>
      </c>
      <c r="J348" s="17" t="s">
        <v>37</v>
      </c>
      <c r="K348" s="10" t="str">
        <f ca="1">DATEDIF('DATA PENDUDUK'!$G348,TODAY(),"Y")&amp; " TAHUN"</f>
        <v>29 TAHUN</v>
      </c>
      <c r="L348" s="19" t="s">
        <v>673</v>
      </c>
    </row>
    <row r="349" spans="1:12" ht="20.100000000000001" customHeight="1" x14ac:dyDescent="0.25">
      <c r="A349" s="8">
        <f t="shared" si="5"/>
        <v>346</v>
      </c>
      <c r="B349" s="20" t="s">
        <v>900</v>
      </c>
      <c r="C349" s="20" t="s">
        <v>901</v>
      </c>
      <c r="D349" s="17" t="s">
        <v>902</v>
      </c>
      <c r="E349" s="17" t="s">
        <v>671</v>
      </c>
      <c r="F349" s="17" t="s">
        <v>681</v>
      </c>
      <c r="G349" s="18">
        <v>32235</v>
      </c>
      <c r="H349" s="17" t="s">
        <v>438</v>
      </c>
      <c r="I349" s="17" t="s">
        <v>19</v>
      </c>
      <c r="J349" s="17" t="s">
        <v>20</v>
      </c>
      <c r="K349" s="10" t="str">
        <f ca="1">DATEDIF('DATA PENDUDUK'!$G349,TODAY(),"Y")&amp; " TAHUN"</f>
        <v>37 TAHUN</v>
      </c>
      <c r="L349" s="19" t="s">
        <v>673</v>
      </c>
    </row>
    <row r="350" spans="1:12" ht="20.100000000000001" customHeight="1" x14ac:dyDescent="0.25">
      <c r="A350" s="8">
        <f t="shared" si="5"/>
        <v>347</v>
      </c>
      <c r="B350" s="20" t="s">
        <v>900</v>
      </c>
      <c r="C350" s="20" t="s">
        <v>903</v>
      </c>
      <c r="D350" s="17" t="s">
        <v>904</v>
      </c>
      <c r="E350" s="17" t="s">
        <v>24</v>
      </c>
      <c r="F350" s="17" t="s">
        <v>905</v>
      </c>
      <c r="G350" s="18">
        <v>32976</v>
      </c>
      <c r="H350" s="17" t="s">
        <v>438</v>
      </c>
      <c r="I350" s="17" t="s">
        <v>26</v>
      </c>
      <c r="J350" s="17" t="s">
        <v>27</v>
      </c>
      <c r="K350" s="10" t="str">
        <f ca="1">DATEDIF('DATA PENDUDUK'!$G350,TODAY(),"Y")&amp; " TAHUN"</f>
        <v>35 TAHUN</v>
      </c>
      <c r="L350" s="19" t="s">
        <v>673</v>
      </c>
    </row>
    <row r="351" spans="1:12" ht="20.100000000000001" customHeight="1" x14ac:dyDescent="0.25">
      <c r="A351" s="8">
        <f t="shared" si="5"/>
        <v>348</v>
      </c>
      <c r="B351" s="20" t="s">
        <v>906</v>
      </c>
      <c r="C351" s="20" t="s">
        <v>907</v>
      </c>
      <c r="D351" s="17" t="s">
        <v>908</v>
      </c>
      <c r="E351" s="17" t="s">
        <v>671</v>
      </c>
      <c r="F351" s="17" t="s">
        <v>681</v>
      </c>
      <c r="G351" s="18">
        <v>36100</v>
      </c>
      <c r="H351" s="17" t="s">
        <v>438</v>
      </c>
      <c r="I351" s="17" t="s">
        <v>19</v>
      </c>
      <c r="J351" s="17" t="s">
        <v>20</v>
      </c>
      <c r="K351" s="10" t="str">
        <f ca="1">DATEDIF('DATA PENDUDUK'!$G351,TODAY(),"Y")&amp; " TAHUN"</f>
        <v>26 TAHUN</v>
      </c>
      <c r="L351" s="19" t="s">
        <v>673</v>
      </c>
    </row>
    <row r="352" spans="1:12" ht="20.100000000000001" customHeight="1" x14ac:dyDescent="0.25">
      <c r="A352" s="8">
        <f t="shared" si="5"/>
        <v>349</v>
      </c>
      <c r="B352" s="20" t="s">
        <v>906</v>
      </c>
      <c r="C352" s="20" t="s">
        <v>909</v>
      </c>
      <c r="D352" s="17" t="s">
        <v>910</v>
      </c>
      <c r="E352" s="17" t="s">
        <v>24</v>
      </c>
      <c r="F352" s="17" t="s">
        <v>30</v>
      </c>
      <c r="G352" s="18">
        <v>34475</v>
      </c>
      <c r="H352" s="17" t="s">
        <v>18</v>
      </c>
      <c r="I352" s="17" t="s">
        <v>26</v>
      </c>
      <c r="J352" s="17" t="s">
        <v>27</v>
      </c>
      <c r="K352" s="10" t="str">
        <f ca="1">DATEDIF('DATA PENDUDUK'!$G352,TODAY(),"Y")&amp; " TAHUN"</f>
        <v>31 TAHUN</v>
      </c>
      <c r="L352" s="19" t="s">
        <v>673</v>
      </c>
    </row>
    <row r="353" spans="1:12" ht="20.100000000000001" customHeight="1" x14ac:dyDescent="0.25">
      <c r="A353" s="8">
        <f t="shared" si="5"/>
        <v>350</v>
      </c>
      <c r="B353" s="20" t="s">
        <v>906</v>
      </c>
      <c r="C353" s="20" t="s">
        <v>911</v>
      </c>
      <c r="D353" s="17" t="s">
        <v>912</v>
      </c>
      <c r="E353" s="17" t="s">
        <v>671</v>
      </c>
      <c r="F353" s="17" t="s">
        <v>30</v>
      </c>
      <c r="G353" s="18">
        <v>42382</v>
      </c>
      <c r="H353" s="17" t="s">
        <v>438</v>
      </c>
      <c r="I353" s="17" t="s">
        <v>31</v>
      </c>
      <c r="J353" s="17" t="s">
        <v>32</v>
      </c>
      <c r="K353" s="10" t="str">
        <f ca="1">DATEDIF('DATA PENDUDUK'!$G353,TODAY(),"Y")&amp; " TAHUN"</f>
        <v>9 TAHUN</v>
      </c>
      <c r="L353" s="19" t="s">
        <v>673</v>
      </c>
    </row>
    <row r="354" spans="1:12" ht="20.100000000000001" customHeight="1" x14ac:dyDescent="0.25">
      <c r="A354" s="8">
        <f t="shared" si="5"/>
        <v>351</v>
      </c>
      <c r="B354" s="20" t="s">
        <v>906</v>
      </c>
      <c r="C354" s="20" t="s">
        <v>913</v>
      </c>
      <c r="D354" s="17" t="s">
        <v>914</v>
      </c>
      <c r="E354" s="17" t="s">
        <v>24</v>
      </c>
      <c r="F354" s="17" t="s">
        <v>30</v>
      </c>
      <c r="G354" s="18">
        <v>42913</v>
      </c>
      <c r="H354" s="17" t="s">
        <v>438</v>
      </c>
      <c r="I354" s="17" t="s">
        <v>31</v>
      </c>
      <c r="J354" s="17" t="s">
        <v>32</v>
      </c>
      <c r="K354" s="10" t="str">
        <f ca="1">DATEDIF('DATA PENDUDUK'!$G354,TODAY(),"Y")&amp; " TAHUN"</f>
        <v>8 TAHUN</v>
      </c>
      <c r="L354" s="19" t="s">
        <v>673</v>
      </c>
    </row>
    <row r="355" spans="1:12" ht="20.100000000000001" customHeight="1" x14ac:dyDescent="0.25">
      <c r="A355" s="8">
        <f t="shared" si="5"/>
        <v>352</v>
      </c>
      <c r="B355" s="20" t="s">
        <v>915</v>
      </c>
      <c r="C355" s="20" t="s">
        <v>916</v>
      </c>
      <c r="D355" s="17" t="s">
        <v>917</v>
      </c>
      <c r="E355" s="17" t="s">
        <v>671</v>
      </c>
      <c r="F355" s="17" t="s">
        <v>659</v>
      </c>
      <c r="G355" s="18">
        <v>29920</v>
      </c>
      <c r="H355" s="17" t="s">
        <v>35</v>
      </c>
      <c r="I355" s="17" t="s">
        <v>685</v>
      </c>
      <c r="J355" s="17" t="s">
        <v>20</v>
      </c>
      <c r="K355" s="10" t="str">
        <f ca="1">DATEDIF('DATA PENDUDUK'!$G355,TODAY(),"Y")&amp; " TAHUN"</f>
        <v>43 TAHUN</v>
      </c>
      <c r="L355" s="19" t="s">
        <v>673</v>
      </c>
    </row>
    <row r="356" spans="1:12" ht="20.100000000000001" customHeight="1" x14ac:dyDescent="0.25">
      <c r="A356" s="8">
        <f t="shared" si="5"/>
        <v>353</v>
      </c>
      <c r="B356" s="20" t="s">
        <v>915</v>
      </c>
      <c r="C356" s="20" t="s">
        <v>918</v>
      </c>
      <c r="D356" s="17" t="s">
        <v>919</v>
      </c>
      <c r="E356" s="17" t="s">
        <v>24</v>
      </c>
      <c r="F356" s="17" t="s">
        <v>30</v>
      </c>
      <c r="G356" s="18">
        <v>31285</v>
      </c>
      <c r="H356" s="17" t="s">
        <v>35</v>
      </c>
      <c r="I356" s="17" t="s">
        <v>26</v>
      </c>
      <c r="J356" s="17" t="s">
        <v>27</v>
      </c>
      <c r="K356" s="10" t="str">
        <f ca="1">DATEDIF('DATA PENDUDUK'!$G356,TODAY(),"Y")&amp; " TAHUN"</f>
        <v>39 TAHUN</v>
      </c>
      <c r="L356" s="19" t="s">
        <v>673</v>
      </c>
    </row>
    <row r="357" spans="1:12" ht="20.100000000000001" customHeight="1" x14ac:dyDescent="0.25">
      <c r="A357" s="8">
        <f t="shared" si="5"/>
        <v>354</v>
      </c>
      <c r="B357" s="20" t="s">
        <v>915</v>
      </c>
      <c r="C357" s="20" t="s">
        <v>920</v>
      </c>
      <c r="D357" s="17" t="s">
        <v>921</v>
      </c>
      <c r="E357" s="17" t="s">
        <v>671</v>
      </c>
      <c r="F357" s="17" t="s">
        <v>30</v>
      </c>
      <c r="G357" s="18">
        <v>39992</v>
      </c>
      <c r="H357" s="17" t="s">
        <v>35</v>
      </c>
      <c r="I357" s="17" t="s">
        <v>31</v>
      </c>
      <c r="J357" s="17" t="s">
        <v>32</v>
      </c>
      <c r="K357" s="10" t="str">
        <f ca="1">DATEDIF('DATA PENDUDUK'!$G357,TODAY(),"Y")&amp; " TAHUN"</f>
        <v>16 TAHUN</v>
      </c>
      <c r="L357" s="19" t="s">
        <v>673</v>
      </c>
    </row>
    <row r="358" spans="1:12" ht="20.100000000000001" customHeight="1" x14ac:dyDescent="0.25">
      <c r="A358" s="8">
        <f t="shared" si="5"/>
        <v>355</v>
      </c>
      <c r="B358" s="20" t="s">
        <v>915</v>
      </c>
      <c r="C358" s="20" t="s">
        <v>922</v>
      </c>
      <c r="D358" s="17" t="s">
        <v>923</v>
      </c>
      <c r="E358" s="17" t="s">
        <v>24</v>
      </c>
      <c r="F358" s="17" t="s">
        <v>30</v>
      </c>
      <c r="G358" s="18">
        <v>42428</v>
      </c>
      <c r="H358" s="17" t="s">
        <v>35</v>
      </c>
      <c r="I358" s="17" t="s">
        <v>31</v>
      </c>
      <c r="J358" s="17" t="s">
        <v>32</v>
      </c>
      <c r="K358" s="10" t="str">
        <f ca="1">DATEDIF('DATA PENDUDUK'!$G358,TODAY(),"Y")&amp; " TAHUN"</f>
        <v>9 TAHUN</v>
      </c>
      <c r="L358" s="19" t="s">
        <v>673</v>
      </c>
    </row>
    <row r="359" spans="1:12" ht="20.100000000000001" customHeight="1" x14ac:dyDescent="0.25">
      <c r="A359" s="8">
        <f t="shared" si="5"/>
        <v>356</v>
      </c>
      <c r="B359" s="20" t="s">
        <v>924</v>
      </c>
      <c r="C359" s="20" t="s">
        <v>925</v>
      </c>
      <c r="D359" s="17" t="s">
        <v>926</v>
      </c>
      <c r="E359" s="17" t="s">
        <v>671</v>
      </c>
      <c r="F359" s="17" t="s">
        <v>30</v>
      </c>
      <c r="G359" s="18">
        <v>31358</v>
      </c>
      <c r="H359" s="17" t="s">
        <v>438</v>
      </c>
      <c r="I359" s="17" t="s">
        <v>73</v>
      </c>
      <c r="J359" s="17" t="s">
        <v>20</v>
      </c>
      <c r="K359" s="10" t="str">
        <f ca="1">DATEDIF('DATA PENDUDUK'!$G359,TODAY(),"Y")&amp; " TAHUN"</f>
        <v>39 TAHUN</v>
      </c>
      <c r="L359" s="19" t="s">
        <v>673</v>
      </c>
    </row>
    <row r="360" spans="1:12" ht="20.100000000000001" customHeight="1" x14ac:dyDescent="0.25">
      <c r="A360" s="8">
        <f t="shared" si="5"/>
        <v>357</v>
      </c>
      <c r="B360" s="20" t="s">
        <v>924</v>
      </c>
      <c r="C360" s="20" t="s">
        <v>927</v>
      </c>
      <c r="D360" s="17" t="s">
        <v>928</v>
      </c>
      <c r="E360" s="17" t="s">
        <v>24</v>
      </c>
      <c r="F360" s="17" t="s">
        <v>780</v>
      </c>
      <c r="G360" s="18">
        <v>33702</v>
      </c>
      <c r="H360" s="17" t="s">
        <v>438</v>
      </c>
      <c r="I360" s="17" t="s">
        <v>26</v>
      </c>
      <c r="J360" s="17" t="s">
        <v>27</v>
      </c>
      <c r="K360" s="10" t="str">
        <f ca="1">DATEDIF('DATA PENDUDUK'!$G360,TODAY(),"Y")&amp; " TAHUN"</f>
        <v>33 TAHUN</v>
      </c>
      <c r="L360" s="19" t="s">
        <v>673</v>
      </c>
    </row>
    <row r="361" spans="1:12" ht="20.100000000000001" customHeight="1" x14ac:dyDescent="0.25">
      <c r="A361" s="8">
        <f t="shared" si="5"/>
        <v>358</v>
      </c>
      <c r="B361" s="20" t="s">
        <v>924</v>
      </c>
      <c r="C361" s="20" t="s">
        <v>929</v>
      </c>
      <c r="D361" s="17" t="s">
        <v>930</v>
      </c>
      <c r="E361" s="17" t="s">
        <v>671</v>
      </c>
      <c r="F361" s="17" t="s">
        <v>30</v>
      </c>
      <c r="G361" s="18">
        <v>42181</v>
      </c>
      <c r="H361" s="17" t="s">
        <v>438</v>
      </c>
      <c r="I361" s="17" t="s">
        <v>31</v>
      </c>
      <c r="J361" s="17" t="s">
        <v>32</v>
      </c>
      <c r="K361" s="10" t="str">
        <f ca="1">DATEDIF('DATA PENDUDUK'!$G361,TODAY(),"Y")&amp; " TAHUN"</f>
        <v>10 TAHUN</v>
      </c>
      <c r="L361" s="19" t="s">
        <v>673</v>
      </c>
    </row>
    <row r="362" spans="1:12" ht="20.100000000000001" customHeight="1" x14ac:dyDescent="0.25">
      <c r="A362" s="8">
        <f t="shared" si="5"/>
        <v>359</v>
      </c>
      <c r="B362" s="20" t="s">
        <v>931</v>
      </c>
      <c r="C362" s="20" t="s">
        <v>932</v>
      </c>
      <c r="D362" s="17" t="s">
        <v>933</v>
      </c>
      <c r="E362" s="17" t="s">
        <v>671</v>
      </c>
      <c r="F362" s="17" t="s">
        <v>698</v>
      </c>
      <c r="G362" s="18">
        <v>25146</v>
      </c>
      <c r="H362" s="17" t="s">
        <v>18</v>
      </c>
      <c r="I362" s="17" t="s">
        <v>36</v>
      </c>
      <c r="J362" s="17" t="s">
        <v>20</v>
      </c>
      <c r="K362" s="10" t="str">
        <f ca="1">DATEDIF('DATA PENDUDUK'!$G362,TODAY(),"Y")&amp; " TAHUN"</f>
        <v>56 TAHUN</v>
      </c>
      <c r="L362" s="19" t="s">
        <v>673</v>
      </c>
    </row>
    <row r="363" spans="1:12" ht="20.100000000000001" customHeight="1" x14ac:dyDescent="0.25">
      <c r="A363" s="8">
        <f t="shared" si="5"/>
        <v>360</v>
      </c>
      <c r="B363" s="20" t="s">
        <v>931</v>
      </c>
      <c r="C363" s="20" t="s">
        <v>934</v>
      </c>
      <c r="D363" s="17" t="s">
        <v>935</v>
      </c>
      <c r="E363" s="17" t="s">
        <v>671</v>
      </c>
      <c r="F363" s="17" t="s">
        <v>936</v>
      </c>
      <c r="G363" s="18">
        <v>37002</v>
      </c>
      <c r="H363" s="17" t="s">
        <v>18</v>
      </c>
      <c r="I363" s="17" t="s">
        <v>40</v>
      </c>
      <c r="J363" s="17" t="s">
        <v>32</v>
      </c>
      <c r="K363" s="10" t="str">
        <f ca="1">DATEDIF('DATA PENDUDUK'!$G363,TODAY(),"Y")&amp; " TAHUN"</f>
        <v>24 TAHUN</v>
      </c>
      <c r="L363" s="19" t="s">
        <v>673</v>
      </c>
    </row>
    <row r="364" spans="1:12" ht="20.100000000000001" customHeight="1" x14ac:dyDescent="0.25">
      <c r="A364" s="8">
        <f t="shared" si="5"/>
        <v>361</v>
      </c>
      <c r="B364" s="20" t="s">
        <v>937</v>
      </c>
      <c r="C364" s="20" t="s">
        <v>938</v>
      </c>
      <c r="D364" s="17" t="s">
        <v>939</v>
      </c>
      <c r="E364" s="17" t="s">
        <v>671</v>
      </c>
      <c r="F364" s="17" t="s">
        <v>940</v>
      </c>
      <c r="G364" s="18">
        <v>27468</v>
      </c>
      <c r="H364" s="17" t="s">
        <v>18</v>
      </c>
      <c r="I364" s="17" t="s">
        <v>40</v>
      </c>
      <c r="J364" s="17" t="s">
        <v>20</v>
      </c>
      <c r="K364" s="10" t="str">
        <f ca="1">DATEDIF('DATA PENDUDUK'!$G364,TODAY(),"Y")&amp; " TAHUN"</f>
        <v>50 TAHUN</v>
      </c>
      <c r="L364" s="19" t="s">
        <v>673</v>
      </c>
    </row>
    <row r="365" spans="1:12" ht="20.100000000000001" customHeight="1" x14ac:dyDescent="0.25">
      <c r="A365" s="8">
        <f t="shared" si="5"/>
        <v>362</v>
      </c>
      <c r="B365" s="20" t="s">
        <v>941</v>
      </c>
      <c r="C365" s="20" t="s">
        <v>942</v>
      </c>
      <c r="D365" s="17" t="s">
        <v>943</v>
      </c>
      <c r="E365" s="17" t="s">
        <v>671</v>
      </c>
      <c r="F365" s="17" t="s">
        <v>780</v>
      </c>
      <c r="G365" s="18">
        <v>25087</v>
      </c>
      <c r="H365" s="17" t="s">
        <v>438</v>
      </c>
      <c r="I365" s="17" t="s">
        <v>36</v>
      </c>
      <c r="J365" s="17" t="s">
        <v>20</v>
      </c>
      <c r="K365" s="10" t="str">
        <f ca="1">DATEDIF('DATA PENDUDUK'!$G365,TODAY(),"Y")&amp; " TAHUN"</f>
        <v>56 TAHUN</v>
      </c>
      <c r="L365" s="19" t="s">
        <v>673</v>
      </c>
    </row>
    <row r="366" spans="1:12" ht="20.100000000000001" customHeight="1" x14ac:dyDescent="0.25">
      <c r="A366" s="8">
        <f t="shared" si="5"/>
        <v>363</v>
      </c>
      <c r="B366" s="20" t="s">
        <v>941</v>
      </c>
      <c r="C366" s="20" t="s">
        <v>944</v>
      </c>
      <c r="D366" s="17" t="s">
        <v>945</v>
      </c>
      <c r="E366" s="17" t="s">
        <v>24</v>
      </c>
      <c r="F366" s="17" t="s">
        <v>863</v>
      </c>
      <c r="G366" s="18">
        <v>25779</v>
      </c>
      <c r="H366" s="17" t="s">
        <v>438</v>
      </c>
      <c r="I366" s="17" t="s">
        <v>26</v>
      </c>
      <c r="J366" s="17" t="s">
        <v>27</v>
      </c>
      <c r="K366" s="10" t="str">
        <f ca="1">DATEDIF('DATA PENDUDUK'!$G366,TODAY(),"Y")&amp; " TAHUN"</f>
        <v>54 TAHUN</v>
      </c>
      <c r="L366" s="19" t="s">
        <v>673</v>
      </c>
    </row>
    <row r="367" spans="1:12" ht="20.100000000000001" customHeight="1" x14ac:dyDescent="0.25">
      <c r="A367" s="8">
        <f t="shared" si="5"/>
        <v>364</v>
      </c>
      <c r="B367" s="20" t="s">
        <v>941</v>
      </c>
      <c r="C367" s="20" t="s">
        <v>946</v>
      </c>
      <c r="D367" s="17" t="s">
        <v>947</v>
      </c>
      <c r="E367" s="17" t="s">
        <v>671</v>
      </c>
      <c r="F367" s="17" t="s">
        <v>780</v>
      </c>
      <c r="G367" s="18">
        <v>38469</v>
      </c>
      <c r="H367" s="17" t="s">
        <v>438</v>
      </c>
      <c r="I367" s="17" t="s">
        <v>40</v>
      </c>
      <c r="J367" s="17" t="s">
        <v>32</v>
      </c>
      <c r="K367" s="10" t="str">
        <f ca="1">DATEDIF('DATA PENDUDUK'!$G367,TODAY(),"Y")&amp; " TAHUN"</f>
        <v>20 TAHUN</v>
      </c>
      <c r="L367" s="19" t="s">
        <v>673</v>
      </c>
    </row>
    <row r="368" spans="1:12" ht="20.100000000000001" customHeight="1" x14ac:dyDescent="0.25">
      <c r="A368" s="8">
        <f t="shared" si="5"/>
        <v>365</v>
      </c>
      <c r="B368" s="20" t="s">
        <v>941</v>
      </c>
      <c r="C368" s="20" t="s">
        <v>948</v>
      </c>
      <c r="D368" s="17" t="s">
        <v>949</v>
      </c>
      <c r="E368" s="17" t="s">
        <v>24</v>
      </c>
      <c r="F368" s="17" t="s">
        <v>376</v>
      </c>
      <c r="G368" s="18">
        <v>38745</v>
      </c>
      <c r="H368" s="17" t="s">
        <v>438</v>
      </c>
      <c r="I368" s="17" t="s">
        <v>40</v>
      </c>
      <c r="J368" s="17" t="s">
        <v>32</v>
      </c>
      <c r="K368" s="10" t="str">
        <f ca="1">DATEDIF('DATA PENDUDUK'!$G368,TODAY(),"Y")&amp; " TAHUN"</f>
        <v>19 TAHUN</v>
      </c>
      <c r="L368" s="19" t="s">
        <v>673</v>
      </c>
    </row>
    <row r="369" spans="1:12" ht="20.100000000000001" customHeight="1" x14ac:dyDescent="0.25">
      <c r="A369" s="8">
        <f t="shared" si="5"/>
        <v>366</v>
      </c>
      <c r="B369" s="20" t="s">
        <v>941</v>
      </c>
      <c r="C369" s="20" t="s">
        <v>950</v>
      </c>
      <c r="D369" s="17" t="s">
        <v>951</v>
      </c>
      <c r="E369" s="17" t="s">
        <v>671</v>
      </c>
      <c r="F369" s="17" t="s">
        <v>30</v>
      </c>
      <c r="G369" s="18">
        <v>39461</v>
      </c>
      <c r="H369" s="17" t="s">
        <v>438</v>
      </c>
      <c r="I369" s="17" t="s">
        <v>31</v>
      </c>
      <c r="J369" s="17" t="s">
        <v>530</v>
      </c>
      <c r="K369" s="10" t="str">
        <f ca="1">DATEDIF('DATA PENDUDUK'!$G369,TODAY(),"Y")&amp; " TAHUN"</f>
        <v>17 TAHUN</v>
      </c>
      <c r="L369" s="19" t="s">
        <v>673</v>
      </c>
    </row>
    <row r="370" spans="1:12" ht="20.100000000000001" customHeight="1" x14ac:dyDescent="0.25">
      <c r="A370" s="8">
        <f t="shared" si="5"/>
        <v>367</v>
      </c>
      <c r="B370" s="21" t="s">
        <v>952</v>
      </c>
      <c r="C370" s="21" t="s">
        <v>953</v>
      </c>
      <c r="D370" s="22" t="s">
        <v>954</v>
      </c>
      <c r="E370" s="22" t="s">
        <v>671</v>
      </c>
      <c r="F370" s="22" t="s">
        <v>955</v>
      </c>
      <c r="G370" s="23">
        <v>18803</v>
      </c>
      <c r="H370" s="22" t="s">
        <v>438</v>
      </c>
      <c r="I370" s="22" t="s">
        <v>36</v>
      </c>
      <c r="J370" s="22" t="s">
        <v>20</v>
      </c>
      <c r="K370" s="10" t="str">
        <f ca="1">DATEDIF('DATA PENDUDUK'!$G370,TODAY(),"Y")&amp; " TAHUN"</f>
        <v>74 TAHUN</v>
      </c>
      <c r="L370" s="24" t="s">
        <v>956</v>
      </c>
    </row>
    <row r="371" spans="1:12" ht="20.100000000000001" customHeight="1" x14ac:dyDescent="0.25">
      <c r="A371" s="8">
        <f t="shared" si="5"/>
        <v>368</v>
      </c>
      <c r="B371" s="21" t="s">
        <v>952</v>
      </c>
      <c r="C371" s="21" t="s">
        <v>957</v>
      </c>
      <c r="D371" s="22" t="s">
        <v>958</v>
      </c>
      <c r="E371" s="22" t="s">
        <v>24</v>
      </c>
      <c r="F371" s="22" t="s">
        <v>955</v>
      </c>
      <c r="G371" s="23">
        <v>25634</v>
      </c>
      <c r="H371" s="22" t="s">
        <v>438</v>
      </c>
      <c r="I371" s="22" t="s">
        <v>26</v>
      </c>
      <c r="J371" s="22" t="s">
        <v>27</v>
      </c>
      <c r="K371" s="10" t="str">
        <f ca="1">DATEDIF('DATA PENDUDUK'!$G371,TODAY(),"Y")&amp; " TAHUN"</f>
        <v>55 TAHUN</v>
      </c>
      <c r="L371" s="24" t="s">
        <v>956</v>
      </c>
    </row>
    <row r="372" spans="1:12" ht="20.100000000000001" customHeight="1" x14ac:dyDescent="0.25">
      <c r="A372" s="8">
        <f t="shared" si="5"/>
        <v>369</v>
      </c>
      <c r="B372" s="21" t="s">
        <v>952</v>
      </c>
      <c r="C372" s="21" t="s">
        <v>959</v>
      </c>
      <c r="D372" s="22" t="s">
        <v>960</v>
      </c>
      <c r="E372" s="22" t="s">
        <v>671</v>
      </c>
      <c r="F372" s="22" t="s">
        <v>134</v>
      </c>
      <c r="G372" s="23">
        <v>36214</v>
      </c>
      <c r="H372" s="22" t="s">
        <v>438</v>
      </c>
      <c r="I372" s="22" t="s">
        <v>19</v>
      </c>
      <c r="J372" s="22" t="s">
        <v>32</v>
      </c>
      <c r="K372" s="10" t="str">
        <f ca="1">DATEDIF('DATA PENDUDUK'!$G372,TODAY(),"Y")&amp; " TAHUN"</f>
        <v>26 TAHUN</v>
      </c>
      <c r="L372" s="24" t="s">
        <v>956</v>
      </c>
    </row>
    <row r="373" spans="1:12" ht="20.100000000000001" customHeight="1" x14ac:dyDescent="0.25">
      <c r="A373" s="8">
        <f t="shared" si="5"/>
        <v>370</v>
      </c>
      <c r="B373" s="21" t="s">
        <v>952</v>
      </c>
      <c r="C373" s="21" t="s">
        <v>961</v>
      </c>
      <c r="D373" s="22" t="s">
        <v>962</v>
      </c>
      <c r="E373" s="22" t="s">
        <v>671</v>
      </c>
      <c r="F373" s="22" t="s">
        <v>134</v>
      </c>
      <c r="G373" s="23">
        <v>37315</v>
      </c>
      <c r="H373" s="22" t="s">
        <v>438</v>
      </c>
      <c r="I373" s="22" t="s">
        <v>40</v>
      </c>
      <c r="J373" s="22" t="s">
        <v>32</v>
      </c>
      <c r="K373" s="10" t="str">
        <f ca="1">DATEDIF('DATA PENDUDUK'!$G373,TODAY(),"Y")&amp; " TAHUN"</f>
        <v>23 TAHUN</v>
      </c>
      <c r="L373" s="24" t="s">
        <v>956</v>
      </c>
    </row>
    <row r="374" spans="1:12" ht="20.100000000000001" customHeight="1" x14ac:dyDescent="0.25">
      <c r="A374" s="8">
        <f t="shared" si="5"/>
        <v>371</v>
      </c>
      <c r="B374" s="21" t="s">
        <v>952</v>
      </c>
      <c r="C374" s="21" t="s">
        <v>963</v>
      </c>
      <c r="D374" s="22" t="s">
        <v>964</v>
      </c>
      <c r="E374" s="22" t="s">
        <v>24</v>
      </c>
      <c r="F374" s="22" t="s">
        <v>134</v>
      </c>
      <c r="G374" s="23">
        <v>39441</v>
      </c>
      <c r="H374" s="22" t="s">
        <v>438</v>
      </c>
      <c r="I374" s="22" t="s">
        <v>31</v>
      </c>
      <c r="J374" s="22" t="s">
        <v>32</v>
      </c>
      <c r="K374" s="10" t="str">
        <f ca="1">DATEDIF('DATA PENDUDUK'!$G374,TODAY(),"Y")&amp; " TAHUN"</f>
        <v>17 TAHUN</v>
      </c>
      <c r="L374" s="24" t="s">
        <v>956</v>
      </c>
    </row>
    <row r="375" spans="1:12" ht="20.100000000000001" customHeight="1" x14ac:dyDescent="0.25">
      <c r="A375" s="8">
        <f t="shared" si="5"/>
        <v>372</v>
      </c>
      <c r="B375" s="21" t="s">
        <v>952</v>
      </c>
      <c r="C375" s="21" t="s">
        <v>965</v>
      </c>
      <c r="D375" s="22" t="s">
        <v>966</v>
      </c>
      <c r="E375" s="22" t="s">
        <v>24</v>
      </c>
      <c r="F375" s="22" t="s">
        <v>30</v>
      </c>
      <c r="G375" s="23">
        <v>39502</v>
      </c>
      <c r="H375" s="22" t="s">
        <v>438</v>
      </c>
      <c r="I375" s="22" t="s">
        <v>31</v>
      </c>
      <c r="J375" s="22" t="s">
        <v>32</v>
      </c>
      <c r="K375" s="10" t="str">
        <f ca="1">DATEDIF('DATA PENDUDUK'!$G375,TODAY(),"Y")&amp; " TAHUN"</f>
        <v>17 TAHUN</v>
      </c>
      <c r="L375" s="24" t="s">
        <v>956</v>
      </c>
    </row>
    <row r="376" spans="1:12" ht="20.100000000000001" customHeight="1" x14ac:dyDescent="0.25">
      <c r="A376" s="8">
        <f t="shared" si="5"/>
        <v>373</v>
      </c>
      <c r="B376" s="21" t="s">
        <v>952</v>
      </c>
      <c r="C376" s="21" t="s">
        <v>967</v>
      </c>
      <c r="D376" s="22" t="s">
        <v>968</v>
      </c>
      <c r="E376" s="22" t="s">
        <v>671</v>
      </c>
      <c r="F376" s="22" t="s">
        <v>30</v>
      </c>
      <c r="G376" s="23">
        <v>40963</v>
      </c>
      <c r="H376" s="22" t="s">
        <v>438</v>
      </c>
      <c r="I376" s="22" t="s">
        <v>31</v>
      </c>
      <c r="J376" s="22" t="s">
        <v>32</v>
      </c>
      <c r="K376" s="10" t="str">
        <f ca="1">DATEDIF('DATA PENDUDUK'!$G376,TODAY(),"Y")&amp; " TAHUN"</f>
        <v>13 TAHUN</v>
      </c>
      <c r="L376" s="24" t="s">
        <v>956</v>
      </c>
    </row>
    <row r="377" spans="1:12" ht="20.100000000000001" customHeight="1" x14ac:dyDescent="0.25">
      <c r="A377" s="8">
        <f t="shared" si="5"/>
        <v>374</v>
      </c>
      <c r="B377" s="21" t="s">
        <v>952</v>
      </c>
      <c r="C377" s="21" t="s">
        <v>969</v>
      </c>
      <c r="D377" s="22" t="s">
        <v>970</v>
      </c>
      <c r="E377" s="22" t="s">
        <v>24</v>
      </c>
      <c r="F377" s="22" t="s">
        <v>30</v>
      </c>
      <c r="G377" s="23">
        <v>41494</v>
      </c>
      <c r="H377" s="22" t="s">
        <v>438</v>
      </c>
      <c r="I377" s="22" t="s">
        <v>31</v>
      </c>
      <c r="J377" s="22" t="s">
        <v>32</v>
      </c>
      <c r="K377" s="10" t="str">
        <f ca="1">DATEDIF('DATA PENDUDUK'!$G377,TODAY(),"Y")&amp; " TAHUN"</f>
        <v>11 TAHUN</v>
      </c>
      <c r="L377" s="24" t="s">
        <v>956</v>
      </c>
    </row>
    <row r="378" spans="1:12" ht="20.100000000000001" customHeight="1" x14ac:dyDescent="0.25">
      <c r="A378" s="8">
        <f t="shared" si="5"/>
        <v>375</v>
      </c>
      <c r="B378" s="21" t="s">
        <v>971</v>
      </c>
      <c r="C378" s="21" t="s">
        <v>972</v>
      </c>
      <c r="D378" s="22" t="s">
        <v>973</v>
      </c>
      <c r="E378" s="22" t="s">
        <v>671</v>
      </c>
      <c r="F378" s="22" t="s">
        <v>955</v>
      </c>
      <c r="G378" s="23">
        <v>27602</v>
      </c>
      <c r="H378" s="22" t="s">
        <v>438</v>
      </c>
      <c r="I378" s="22" t="s">
        <v>73</v>
      </c>
      <c r="J378" s="22" t="s">
        <v>20</v>
      </c>
      <c r="K378" s="10" t="str">
        <f ca="1">DATEDIF('DATA PENDUDUK'!$G378,TODAY(),"Y")&amp; " TAHUN"</f>
        <v>49 TAHUN</v>
      </c>
      <c r="L378" s="24" t="s">
        <v>956</v>
      </c>
    </row>
    <row r="379" spans="1:12" ht="20.100000000000001" customHeight="1" x14ac:dyDescent="0.25">
      <c r="A379" s="8">
        <f t="shared" si="5"/>
        <v>376</v>
      </c>
      <c r="B379" s="21" t="s">
        <v>971</v>
      </c>
      <c r="C379" s="21" t="s">
        <v>974</v>
      </c>
      <c r="D379" s="22" t="s">
        <v>975</v>
      </c>
      <c r="E379" s="22" t="s">
        <v>24</v>
      </c>
      <c r="F379" s="22" t="s">
        <v>780</v>
      </c>
      <c r="G379" s="23">
        <v>28277</v>
      </c>
      <c r="H379" s="22" t="s">
        <v>438</v>
      </c>
      <c r="I379" s="22" t="s">
        <v>26</v>
      </c>
      <c r="J379" s="22" t="s">
        <v>27</v>
      </c>
      <c r="K379" s="10" t="str">
        <f ca="1">DATEDIF('DATA PENDUDUK'!$G379,TODAY(),"Y")&amp; " TAHUN"</f>
        <v>48 TAHUN</v>
      </c>
      <c r="L379" s="24" t="s">
        <v>956</v>
      </c>
    </row>
    <row r="380" spans="1:12" ht="20.100000000000001" customHeight="1" x14ac:dyDescent="0.25">
      <c r="A380" s="8">
        <f t="shared" si="5"/>
        <v>377</v>
      </c>
      <c r="B380" s="21" t="s">
        <v>971</v>
      </c>
      <c r="C380" s="21" t="s">
        <v>976</v>
      </c>
      <c r="D380" s="22" t="s">
        <v>977</v>
      </c>
      <c r="E380" s="22" t="s">
        <v>671</v>
      </c>
      <c r="F380" s="22" t="s">
        <v>30</v>
      </c>
      <c r="G380" s="23">
        <v>35218</v>
      </c>
      <c r="H380" s="22" t="s">
        <v>438</v>
      </c>
      <c r="I380" s="22" t="s">
        <v>40</v>
      </c>
      <c r="J380" s="22" t="s">
        <v>32</v>
      </c>
      <c r="K380" s="10" t="str">
        <f ca="1">DATEDIF('DATA PENDUDUK'!$G380,TODAY(),"Y")&amp; " TAHUN"</f>
        <v>29 TAHUN</v>
      </c>
      <c r="L380" s="24" t="s">
        <v>956</v>
      </c>
    </row>
    <row r="381" spans="1:12" ht="20.100000000000001" customHeight="1" x14ac:dyDescent="0.25">
      <c r="A381" s="8">
        <f t="shared" si="5"/>
        <v>378</v>
      </c>
      <c r="B381" s="21" t="s">
        <v>971</v>
      </c>
      <c r="C381" s="21" t="s">
        <v>978</v>
      </c>
      <c r="D381" s="22" t="s">
        <v>979</v>
      </c>
      <c r="E381" s="22" t="s">
        <v>24</v>
      </c>
      <c r="F381" s="22" t="s">
        <v>30</v>
      </c>
      <c r="G381" s="23">
        <v>36022</v>
      </c>
      <c r="H381" s="22" t="s">
        <v>438</v>
      </c>
      <c r="I381" s="22" t="s">
        <v>40</v>
      </c>
      <c r="J381" s="22" t="s">
        <v>32</v>
      </c>
      <c r="K381" s="10" t="str">
        <f ca="1">DATEDIF('DATA PENDUDUK'!$G381,TODAY(),"Y")&amp; " TAHUN"</f>
        <v>26 TAHUN</v>
      </c>
      <c r="L381" s="24" t="s">
        <v>956</v>
      </c>
    </row>
    <row r="382" spans="1:12" ht="20.100000000000001" customHeight="1" x14ac:dyDescent="0.25">
      <c r="A382" s="8">
        <f t="shared" si="5"/>
        <v>379</v>
      </c>
      <c r="B382" s="21" t="s">
        <v>971</v>
      </c>
      <c r="C382" s="21" t="s">
        <v>980</v>
      </c>
      <c r="D382" s="22" t="s">
        <v>981</v>
      </c>
      <c r="E382" s="22" t="s">
        <v>671</v>
      </c>
      <c r="F382" s="22" t="s">
        <v>30</v>
      </c>
      <c r="G382" s="23">
        <v>36912</v>
      </c>
      <c r="H382" s="22" t="s">
        <v>438</v>
      </c>
      <c r="I382" s="22" t="s">
        <v>40</v>
      </c>
      <c r="J382" s="22" t="s">
        <v>32</v>
      </c>
      <c r="K382" s="10" t="str">
        <f ca="1">DATEDIF('DATA PENDUDUK'!$G382,TODAY(),"Y")&amp; " TAHUN"</f>
        <v>24 TAHUN</v>
      </c>
      <c r="L382" s="24" t="s">
        <v>956</v>
      </c>
    </row>
    <row r="383" spans="1:12" ht="20.100000000000001" customHeight="1" x14ac:dyDescent="0.25">
      <c r="A383" s="8">
        <f t="shared" si="5"/>
        <v>380</v>
      </c>
      <c r="B383" s="21" t="s">
        <v>971</v>
      </c>
      <c r="C383" s="21" t="s">
        <v>982</v>
      </c>
      <c r="D383" s="22" t="s">
        <v>983</v>
      </c>
      <c r="E383" s="22" t="s">
        <v>671</v>
      </c>
      <c r="F383" s="22" t="s">
        <v>30</v>
      </c>
      <c r="G383" s="23">
        <v>37580</v>
      </c>
      <c r="H383" s="22" t="s">
        <v>438</v>
      </c>
      <c r="I383" s="22" t="s">
        <v>40</v>
      </c>
      <c r="J383" s="22" t="s">
        <v>32</v>
      </c>
      <c r="K383" s="10" t="str">
        <f ca="1">DATEDIF('DATA PENDUDUK'!$G383,TODAY(),"Y")&amp; " TAHUN"</f>
        <v>22 TAHUN</v>
      </c>
      <c r="L383" s="24" t="s">
        <v>956</v>
      </c>
    </row>
    <row r="384" spans="1:12" ht="20.100000000000001" customHeight="1" x14ac:dyDescent="0.25">
      <c r="A384" s="8">
        <f t="shared" si="5"/>
        <v>381</v>
      </c>
      <c r="B384" s="21" t="s">
        <v>971</v>
      </c>
      <c r="C384" s="21" t="s">
        <v>984</v>
      </c>
      <c r="D384" s="22" t="s">
        <v>985</v>
      </c>
      <c r="E384" s="22" t="s">
        <v>24</v>
      </c>
      <c r="F384" s="22" t="s">
        <v>30</v>
      </c>
      <c r="G384" s="23">
        <v>41239</v>
      </c>
      <c r="H384" s="22" t="s">
        <v>438</v>
      </c>
      <c r="I384" s="22" t="s">
        <v>31</v>
      </c>
      <c r="J384" s="22" t="s">
        <v>32</v>
      </c>
      <c r="K384" s="10" t="str">
        <f ca="1">DATEDIF('DATA PENDUDUK'!$G384,TODAY(),"Y")&amp; " TAHUN"</f>
        <v>12 TAHUN</v>
      </c>
      <c r="L384" s="24" t="s">
        <v>956</v>
      </c>
    </row>
    <row r="385" spans="1:12" ht="20.100000000000001" customHeight="1" x14ac:dyDescent="0.25">
      <c r="A385" s="8">
        <f t="shared" si="5"/>
        <v>382</v>
      </c>
      <c r="B385" s="21" t="s">
        <v>986</v>
      </c>
      <c r="C385" s="21" t="s">
        <v>987</v>
      </c>
      <c r="D385" s="22" t="s">
        <v>988</v>
      </c>
      <c r="E385" s="22" t="s">
        <v>671</v>
      </c>
      <c r="F385" s="22" t="s">
        <v>989</v>
      </c>
      <c r="G385" s="23">
        <v>30943</v>
      </c>
      <c r="H385" s="22" t="s">
        <v>438</v>
      </c>
      <c r="I385" s="22" t="s">
        <v>36</v>
      </c>
      <c r="J385" s="22" t="s">
        <v>20</v>
      </c>
      <c r="K385" s="10" t="str">
        <f ca="1">DATEDIF('DATA PENDUDUK'!$G385,TODAY(),"Y")&amp; " TAHUN"</f>
        <v>40 TAHUN</v>
      </c>
      <c r="L385" s="24" t="s">
        <v>956</v>
      </c>
    </row>
    <row r="386" spans="1:12" ht="20.100000000000001" customHeight="1" x14ac:dyDescent="0.25">
      <c r="A386" s="8">
        <f t="shared" si="5"/>
        <v>383</v>
      </c>
      <c r="B386" s="21" t="s">
        <v>986</v>
      </c>
      <c r="C386" s="21" t="s">
        <v>990</v>
      </c>
      <c r="D386" s="22" t="s">
        <v>991</v>
      </c>
      <c r="E386" s="22" t="s">
        <v>24</v>
      </c>
      <c r="F386" s="22" t="s">
        <v>30</v>
      </c>
      <c r="G386" s="23">
        <v>32179</v>
      </c>
      <c r="H386" s="22" t="s">
        <v>18</v>
      </c>
      <c r="I386" s="22" t="s">
        <v>26</v>
      </c>
      <c r="J386" s="22" t="s">
        <v>27</v>
      </c>
      <c r="K386" s="10" t="str">
        <f ca="1">DATEDIF('DATA PENDUDUK'!$G386,TODAY(),"Y")&amp; " TAHUN"</f>
        <v>37 TAHUN</v>
      </c>
      <c r="L386" s="24" t="s">
        <v>956</v>
      </c>
    </row>
    <row r="387" spans="1:12" ht="20.100000000000001" customHeight="1" x14ac:dyDescent="0.25">
      <c r="A387" s="8">
        <f t="shared" si="5"/>
        <v>384</v>
      </c>
      <c r="B387" s="21" t="s">
        <v>992</v>
      </c>
      <c r="C387" s="21" t="s">
        <v>993</v>
      </c>
      <c r="D387" s="22" t="s">
        <v>994</v>
      </c>
      <c r="E387" s="22" t="s">
        <v>671</v>
      </c>
      <c r="F387" s="22" t="s">
        <v>955</v>
      </c>
      <c r="G387" s="23">
        <v>27816</v>
      </c>
      <c r="H387" s="22" t="s">
        <v>438</v>
      </c>
      <c r="I387" s="22" t="s">
        <v>36</v>
      </c>
      <c r="J387" s="22" t="s">
        <v>20</v>
      </c>
      <c r="K387" s="10" t="str">
        <f ca="1">DATEDIF('DATA PENDUDUK'!$G387,TODAY(),"Y")&amp; " TAHUN"</f>
        <v>49 TAHUN</v>
      </c>
      <c r="L387" s="24" t="s">
        <v>956</v>
      </c>
    </row>
    <row r="388" spans="1:12" ht="20.100000000000001" customHeight="1" x14ac:dyDescent="0.25">
      <c r="A388" s="8">
        <f t="shared" si="5"/>
        <v>385</v>
      </c>
      <c r="B388" s="21" t="s">
        <v>992</v>
      </c>
      <c r="C388" s="21" t="s">
        <v>995</v>
      </c>
      <c r="D388" s="22" t="s">
        <v>996</v>
      </c>
      <c r="E388" s="22" t="s">
        <v>24</v>
      </c>
      <c r="F388" s="22" t="s">
        <v>955</v>
      </c>
      <c r="G388" s="23">
        <v>31287</v>
      </c>
      <c r="H388" s="22" t="s">
        <v>438</v>
      </c>
      <c r="I388" s="22" t="s">
        <v>26</v>
      </c>
      <c r="J388" s="22" t="s">
        <v>27</v>
      </c>
      <c r="K388" s="10" t="str">
        <f ca="1">DATEDIF('DATA PENDUDUK'!$G388,TODAY(),"Y")&amp; " TAHUN"</f>
        <v>39 TAHUN</v>
      </c>
      <c r="L388" s="24" t="s">
        <v>956</v>
      </c>
    </row>
    <row r="389" spans="1:12" ht="20.100000000000001" customHeight="1" x14ac:dyDescent="0.25">
      <c r="A389" s="8">
        <f t="shared" si="5"/>
        <v>386</v>
      </c>
      <c r="B389" s="21" t="s">
        <v>992</v>
      </c>
      <c r="C389" s="21" t="s">
        <v>997</v>
      </c>
      <c r="D389" s="22" t="s">
        <v>998</v>
      </c>
      <c r="E389" s="22" t="s">
        <v>24</v>
      </c>
      <c r="F389" s="22" t="s">
        <v>30</v>
      </c>
      <c r="G389" s="23">
        <v>38572</v>
      </c>
      <c r="H389" s="22" t="s">
        <v>438</v>
      </c>
      <c r="I389" s="22" t="s">
        <v>40</v>
      </c>
      <c r="J389" s="22" t="s">
        <v>32</v>
      </c>
      <c r="K389" s="10" t="str">
        <f ca="1">DATEDIF('DATA PENDUDUK'!$G389,TODAY(),"Y")&amp; " TAHUN"</f>
        <v>19 TAHUN</v>
      </c>
      <c r="L389" s="24" t="s">
        <v>956</v>
      </c>
    </row>
    <row r="390" spans="1:12" ht="20.100000000000001" customHeight="1" x14ac:dyDescent="0.25">
      <c r="A390" s="8">
        <f t="shared" ref="A390:A453" si="6">IF(D390="","",ROW()-3)</f>
        <v>387</v>
      </c>
      <c r="B390" s="21" t="s">
        <v>992</v>
      </c>
      <c r="C390" s="21" t="s">
        <v>999</v>
      </c>
      <c r="D390" s="22" t="s">
        <v>1000</v>
      </c>
      <c r="E390" s="22" t="s">
        <v>671</v>
      </c>
      <c r="F390" s="22" t="s">
        <v>30</v>
      </c>
      <c r="G390" s="23">
        <v>39000</v>
      </c>
      <c r="H390" s="22" t="s">
        <v>438</v>
      </c>
      <c r="I390" s="22" t="s">
        <v>40</v>
      </c>
      <c r="J390" s="22" t="s">
        <v>32</v>
      </c>
      <c r="K390" s="10" t="str">
        <f ca="1">DATEDIF('DATA PENDUDUK'!$G390,TODAY(),"Y")&amp; " TAHUN"</f>
        <v>18 TAHUN</v>
      </c>
      <c r="L390" s="24" t="s">
        <v>956</v>
      </c>
    </row>
    <row r="391" spans="1:12" ht="20.100000000000001" customHeight="1" x14ac:dyDescent="0.25">
      <c r="A391" s="8">
        <f t="shared" si="6"/>
        <v>388</v>
      </c>
      <c r="B391" s="21" t="s">
        <v>1001</v>
      </c>
      <c r="C391" s="21" t="s">
        <v>1002</v>
      </c>
      <c r="D391" s="22" t="s">
        <v>1003</v>
      </c>
      <c r="E391" s="22" t="s">
        <v>671</v>
      </c>
      <c r="F391" s="22" t="s">
        <v>989</v>
      </c>
      <c r="G391" s="23">
        <v>32300</v>
      </c>
      <c r="H391" s="22" t="s">
        <v>438</v>
      </c>
      <c r="I391" s="22" t="s">
        <v>19</v>
      </c>
      <c r="J391" s="22" t="s">
        <v>20</v>
      </c>
      <c r="K391" s="10" t="str">
        <f ca="1">DATEDIF('DATA PENDUDUK'!$G391,TODAY(),"Y")&amp; " TAHUN"</f>
        <v>37 TAHUN</v>
      </c>
      <c r="L391" s="24" t="s">
        <v>956</v>
      </c>
    </row>
    <row r="392" spans="1:12" ht="20.100000000000001" customHeight="1" x14ac:dyDescent="0.25">
      <c r="A392" s="8">
        <f t="shared" si="6"/>
        <v>389</v>
      </c>
      <c r="B392" s="21" t="s">
        <v>1001</v>
      </c>
      <c r="C392" s="21" t="s">
        <v>1004</v>
      </c>
      <c r="D392" s="22" t="s">
        <v>1005</v>
      </c>
      <c r="E392" s="22" t="s">
        <v>24</v>
      </c>
      <c r="F392" s="22" t="s">
        <v>989</v>
      </c>
      <c r="G392" s="23">
        <v>32634</v>
      </c>
      <c r="H392" s="22" t="s">
        <v>438</v>
      </c>
      <c r="I392" s="22" t="s">
        <v>26</v>
      </c>
      <c r="J392" s="22" t="s">
        <v>27</v>
      </c>
      <c r="K392" s="10" t="str">
        <f ca="1">DATEDIF('DATA PENDUDUK'!$G392,TODAY(),"Y")&amp; " TAHUN"</f>
        <v>36 TAHUN</v>
      </c>
      <c r="L392" s="24" t="s">
        <v>956</v>
      </c>
    </row>
    <row r="393" spans="1:12" ht="20.100000000000001" customHeight="1" x14ac:dyDescent="0.25">
      <c r="A393" s="8">
        <f t="shared" si="6"/>
        <v>390</v>
      </c>
      <c r="B393" s="21" t="s">
        <v>1006</v>
      </c>
      <c r="C393" s="21" t="s">
        <v>1007</v>
      </c>
      <c r="D393" s="22" t="s">
        <v>1008</v>
      </c>
      <c r="E393" s="22" t="s">
        <v>671</v>
      </c>
      <c r="F393" s="22" t="s">
        <v>955</v>
      </c>
      <c r="G393" s="23">
        <v>29051</v>
      </c>
      <c r="H393" s="22" t="s">
        <v>438</v>
      </c>
      <c r="I393" s="22" t="s">
        <v>36</v>
      </c>
      <c r="J393" s="22" t="s">
        <v>20</v>
      </c>
      <c r="K393" s="10" t="str">
        <f ca="1">DATEDIF('DATA PENDUDUK'!$G393,TODAY(),"Y")&amp; " TAHUN"</f>
        <v>46 TAHUN</v>
      </c>
      <c r="L393" s="24" t="s">
        <v>956</v>
      </c>
    </row>
    <row r="394" spans="1:12" ht="20.100000000000001" customHeight="1" x14ac:dyDescent="0.25">
      <c r="A394" s="8">
        <f t="shared" si="6"/>
        <v>391</v>
      </c>
      <c r="B394" s="21" t="s">
        <v>1006</v>
      </c>
      <c r="C394" s="21" t="s">
        <v>1009</v>
      </c>
      <c r="D394" s="22" t="s">
        <v>1010</v>
      </c>
      <c r="E394" s="22" t="s">
        <v>24</v>
      </c>
      <c r="F394" s="22" t="s">
        <v>863</v>
      </c>
      <c r="G394" s="23">
        <v>25062</v>
      </c>
      <c r="H394" s="22" t="s">
        <v>438</v>
      </c>
      <c r="I394" s="22" t="s">
        <v>26</v>
      </c>
      <c r="J394" s="22" t="s">
        <v>27</v>
      </c>
      <c r="K394" s="10" t="str">
        <f ca="1">DATEDIF('DATA PENDUDUK'!$G394,TODAY(),"Y")&amp; " TAHUN"</f>
        <v>56 TAHUN</v>
      </c>
      <c r="L394" s="24" t="s">
        <v>956</v>
      </c>
    </row>
    <row r="395" spans="1:12" ht="20.100000000000001" customHeight="1" x14ac:dyDescent="0.25">
      <c r="A395" s="8">
        <f t="shared" si="6"/>
        <v>392</v>
      </c>
      <c r="B395" s="21" t="s">
        <v>1006</v>
      </c>
      <c r="C395" s="21" t="s">
        <v>1011</v>
      </c>
      <c r="D395" s="22" t="s">
        <v>1012</v>
      </c>
      <c r="E395" s="22" t="s">
        <v>671</v>
      </c>
      <c r="F395" s="22" t="s">
        <v>30</v>
      </c>
      <c r="G395" s="23">
        <v>36872</v>
      </c>
      <c r="H395" s="22" t="s">
        <v>438</v>
      </c>
      <c r="I395" s="22" t="s">
        <v>40</v>
      </c>
      <c r="J395" s="22" t="s">
        <v>32</v>
      </c>
      <c r="K395" s="10" t="str">
        <f ca="1">DATEDIF('DATA PENDUDUK'!$G395,TODAY(),"Y")&amp; " TAHUN"</f>
        <v>24 TAHUN</v>
      </c>
      <c r="L395" s="24" t="s">
        <v>956</v>
      </c>
    </row>
    <row r="396" spans="1:12" ht="20.100000000000001" customHeight="1" x14ac:dyDescent="0.25">
      <c r="A396" s="8">
        <f t="shared" si="6"/>
        <v>393</v>
      </c>
      <c r="B396" s="21" t="s">
        <v>1006</v>
      </c>
      <c r="C396" s="21" t="s">
        <v>1013</v>
      </c>
      <c r="D396" s="22" t="s">
        <v>1014</v>
      </c>
      <c r="E396" s="22" t="s">
        <v>24</v>
      </c>
      <c r="F396" s="22" t="s">
        <v>30</v>
      </c>
      <c r="G396" s="23">
        <v>38299</v>
      </c>
      <c r="H396" s="22" t="s">
        <v>438</v>
      </c>
      <c r="I396" s="22" t="s">
        <v>40</v>
      </c>
      <c r="J396" s="22" t="s">
        <v>32</v>
      </c>
      <c r="K396" s="10" t="str">
        <f ca="1">DATEDIF('DATA PENDUDUK'!$G396,TODAY(),"Y")&amp; " TAHUN"</f>
        <v>20 TAHUN</v>
      </c>
      <c r="L396" s="24" t="s">
        <v>956</v>
      </c>
    </row>
    <row r="397" spans="1:12" ht="20.100000000000001" customHeight="1" x14ac:dyDescent="0.25">
      <c r="A397" s="8">
        <f t="shared" si="6"/>
        <v>394</v>
      </c>
      <c r="B397" s="21" t="s">
        <v>1006</v>
      </c>
      <c r="C397" s="21" t="s">
        <v>1015</v>
      </c>
      <c r="D397" s="22" t="s">
        <v>1016</v>
      </c>
      <c r="E397" s="22" t="s">
        <v>671</v>
      </c>
      <c r="F397" s="22" t="s">
        <v>30</v>
      </c>
      <c r="G397" s="23">
        <v>38876</v>
      </c>
      <c r="H397" s="22" t="s">
        <v>438</v>
      </c>
      <c r="I397" s="22" t="s">
        <v>40</v>
      </c>
      <c r="J397" s="22" t="s">
        <v>32</v>
      </c>
      <c r="K397" s="10" t="str">
        <f ca="1">DATEDIF('DATA PENDUDUK'!$G397,TODAY(),"Y")&amp; " TAHUN"</f>
        <v>19 TAHUN</v>
      </c>
      <c r="L397" s="24" t="s">
        <v>956</v>
      </c>
    </row>
    <row r="398" spans="1:12" ht="20.100000000000001" customHeight="1" x14ac:dyDescent="0.25">
      <c r="A398" s="8">
        <f t="shared" si="6"/>
        <v>395</v>
      </c>
      <c r="B398" s="21" t="s">
        <v>1006</v>
      </c>
      <c r="C398" s="21" t="s">
        <v>1017</v>
      </c>
      <c r="D398" s="22" t="s">
        <v>1018</v>
      </c>
      <c r="E398" s="22" t="s">
        <v>24</v>
      </c>
      <c r="F398" s="22" t="s">
        <v>30</v>
      </c>
      <c r="G398" s="23">
        <v>40546</v>
      </c>
      <c r="H398" s="22" t="s">
        <v>438</v>
      </c>
      <c r="I398" s="22" t="s">
        <v>31</v>
      </c>
      <c r="J398" s="22" t="s">
        <v>32</v>
      </c>
      <c r="K398" s="10" t="str">
        <f ca="1">DATEDIF('DATA PENDUDUK'!$G398,TODAY(),"Y")&amp; " TAHUN"</f>
        <v>14 TAHUN</v>
      </c>
      <c r="L398" s="24" t="s">
        <v>956</v>
      </c>
    </row>
    <row r="399" spans="1:12" ht="20.100000000000001" customHeight="1" x14ac:dyDescent="0.25">
      <c r="A399" s="8">
        <f t="shared" si="6"/>
        <v>396</v>
      </c>
      <c r="B399" s="21" t="s">
        <v>1019</v>
      </c>
      <c r="C399" s="21" t="s">
        <v>1020</v>
      </c>
      <c r="D399" s="22" t="s">
        <v>1021</v>
      </c>
      <c r="E399" s="22" t="s">
        <v>24</v>
      </c>
      <c r="F399" s="22" t="s">
        <v>1022</v>
      </c>
      <c r="G399" s="23">
        <v>26443</v>
      </c>
      <c r="H399" s="22" t="s">
        <v>438</v>
      </c>
      <c r="I399" s="22" t="s">
        <v>26</v>
      </c>
      <c r="J399" s="22" t="s">
        <v>20</v>
      </c>
      <c r="K399" s="10" t="str">
        <f ca="1">DATEDIF('DATA PENDUDUK'!$G399,TODAY(),"Y")&amp; " TAHUN"</f>
        <v>53 TAHUN</v>
      </c>
      <c r="L399" s="24" t="s">
        <v>956</v>
      </c>
    </row>
    <row r="400" spans="1:12" ht="20.100000000000001" customHeight="1" x14ac:dyDescent="0.25">
      <c r="A400" s="8">
        <f t="shared" si="6"/>
        <v>397</v>
      </c>
      <c r="B400" s="21" t="s">
        <v>1019</v>
      </c>
      <c r="C400" s="21" t="s">
        <v>1023</v>
      </c>
      <c r="D400" s="22" t="s">
        <v>1024</v>
      </c>
      <c r="E400" s="22" t="s">
        <v>671</v>
      </c>
      <c r="F400" s="22" t="s">
        <v>1025</v>
      </c>
      <c r="G400" s="23">
        <v>33639</v>
      </c>
      <c r="H400" s="22" t="s">
        <v>438</v>
      </c>
      <c r="I400" s="22" t="s">
        <v>19</v>
      </c>
      <c r="J400" s="22" t="s">
        <v>32</v>
      </c>
      <c r="K400" s="10" t="str">
        <f ca="1">DATEDIF('DATA PENDUDUK'!$G400,TODAY(),"Y")&amp; " TAHUN"</f>
        <v>33 TAHUN</v>
      </c>
      <c r="L400" s="24" t="s">
        <v>956</v>
      </c>
    </row>
    <row r="401" spans="1:12" ht="20.100000000000001" customHeight="1" x14ac:dyDescent="0.25">
      <c r="A401" s="8">
        <f t="shared" si="6"/>
        <v>398</v>
      </c>
      <c r="B401" s="21" t="s">
        <v>1019</v>
      </c>
      <c r="C401" s="21" t="s">
        <v>1026</v>
      </c>
      <c r="D401" s="22" t="s">
        <v>1027</v>
      </c>
      <c r="E401" s="22" t="s">
        <v>24</v>
      </c>
      <c r="F401" s="22" t="s">
        <v>1025</v>
      </c>
      <c r="G401" s="23">
        <v>35009</v>
      </c>
      <c r="H401" s="22" t="s">
        <v>438</v>
      </c>
      <c r="I401" s="22" t="s">
        <v>40</v>
      </c>
      <c r="J401" s="22" t="s">
        <v>32</v>
      </c>
      <c r="K401" s="10" t="str">
        <f ca="1">DATEDIF('DATA PENDUDUK'!$G401,TODAY(),"Y")&amp; " TAHUN"</f>
        <v>29 TAHUN</v>
      </c>
      <c r="L401" s="24" t="s">
        <v>956</v>
      </c>
    </row>
    <row r="402" spans="1:12" ht="20.100000000000001" customHeight="1" x14ac:dyDescent="0.25">
      <c r="A402" s="8">
        <f t="shared" si="6"/>
        <v>399</v>
      </c>
      <c r="B402" s="21" t="s">
        <v>1019</v>
      </c>
      <c r="C402" s="21" t="s">
        <v>1028</v>
      </c>
      <c r="D402" s="22" t="s">
        <v>1029</v>
      </c>
      <c r="E402" s="22" t="s">
        <v>671</v>
      </c>
      <c r="F402" s="22" t="s">
        <v>30</v>
      </c>
      <c r="G402" s="23">
        <v>37112</v>
      </c>
      <c r="H402" s="22" t="s">
        <v>438</v>
      </c>
      <c r="I402" s="22" t="s">
        <v>40</v>
      </c>
      <c r="J402" s="22" t="s">
        <v>32</v>
      </c>
      <c r="K402" s="10" t="str">
        <f ca="1">DATEDIF('DATA PENDUDUK'!$G402,TODAY(),"Y")&amp; " TAHUN"</f>
        <v>23 TAHUN</v>
      </c>
      <c r="L402" s="24" t="s">
        <v>956</v>
      </c>
    </row>
    <row r="403" spans="1:12" ht="20.100000000000001" customHeight="1" x14ac:dyDescent="0.25">
      <c r="A403" s="8">
        <f t="shared" si="6"/>
        <v>400</v>
      </c>
      <c r="B403" s="21" t="s">
        <v>1019</v>
      </c>
      <c r="C403" s="21" t="s">
        <v>1030</v>
      </c>
      <c r="D403" s="22" t="s">
        <v>1031</v>
      </c>
      <c r="E403" s="22" t="s">
        <v>671</v>
      </c>
      <c r="F403" s="22" t="s">
        <v>30</v>
      </c>
      <c r="G403" s="23">
        <v>41076</v>
      </c>
      <c r="H403" s="22" t="s">
        <v>438</v>
      </c>
      <c r="I403" s="22" t="s">
        <v>31</v>
      </c>
      <c r="J403" s="22" t="s">
        <v>32</v>
      </c>
      <c r="K403" s="10" t="str">
        <f ca="1">DATEDIF('DATA PENDUDUK'!$G403,TODAY(),"Y")&amp; " TAHUN"</f>
        <v>13 TAHUN</v>
      </c>
      <c r="L403" s="24" t="s">
        <v>956</v>
      </c>
    </row>
    <row r="404" spans="1:12" ht="20.100000000000001" customHeight="1" x14ac:dyDescent="0.25">
      <c r="A404" s="8">
        <f t="shared" si="6"/>
        <v>401</v>
      </c>
      <c r="B404" s="21" t="s">
        <v>1019</v>
      </c>
      <c r="C404" s="21" t="s">
        <v>1032</v>
      </c>
      <c r="D404" s="22" t="s">
        <v>1033</v>
      </c>
      <c r="E404" s="22" t="s">
        <v>671</v>
      </c>
      <c r="F404" s="22" t="s">
        <v>30</v>
      </c>
      <c r="G404" s="23">
        <v>41633</v>
      </c>
      <c r="H404" s="22" t="s">
        <v>438</v>
      </c>
      <c r="I404" s="22" t="s">
        <v>31</v>
      </c>
      <c r="J404" s="22" t="s">
        <v>32</v>
      </c>
      <c r="K404" s="10" t="str">
        <f ca="1">DATEDIF('DATA PENDUDUK'!$G404,TODAY(),"Y")&amp; " TAHUN"</f>
        <v>11 TAHUN</v>
      </c>
      <c r="L404" s="24" t="s">
        <v>956</v>
      </c>
    </row>
    <row r="405" spans="1:12" ht="20.100000000000001" customHeight="1" x14ac:dyDescent="0.25">
      <c r="A405" s="8">
        <f t="shared" si="6"/>
        <v>402</v>
      </c>
      <c r="B405" s="21" t="s">
        <v>1034</v>
      </c>
      <c r="C405" s="21" t="s">
        <v>1035</v>
      </c>
      <c r="D405" s="22" t="s">
        <v>1036</v>
      </c>
      <c r="E405" s="22" t="s">
        <v>671</v>
      </c>
      <c r="F405" s="22" t="s">
        <v>681</v>
      </c>
      <c r="G405" s="23">
        <v>30652</v>
      </c>
      <c r="H405" s="22" t="s">
        <v>438</v>
      </c>
      <c r="I405" s="22" t="s">
        <v>19</v>
      </c>
      <c r="J405" s="22" t="s">
        <v>20</v>
      </c>
      <c r="K405" s="10" t="str">
        <f ca="1">DATEDIF('DATA PENDUDUK'!$G405,TODAY(),"Y")&amp; " TAHUN"</f>
        <v>41 TAHUN</v>
      </c>
      <c r="L405" s="24" t="s">
        <v>956</v>
      </c>
    </row>
    <row r="406" spans="1:12" ht="20.100000000000001" customHeight="1" x14ac:dyDescent="0.25">
      <c r="A406" s="8">
        <f t="shared" si="6"/>
        <v>403</v>
      </c>
      <c r="B406" s="21" t="s">
        <v>1034</v>
      </c>
      <c r="C406" s="21" t="s">
        <v>1037</v>
      </c>
      <c r="D406" s="22" t="s">
        <v>1038</v>
      </c>
      <c r="E406" s="22" t="s">
        <v>24</v>
      </c>
      <c r="F406" s="22" t="s">
        <v>30</v>
      </c>
      <c r="G406" s="23">
        <v>35281</v>
      </c>
      <c r="H406" s="22" t="s">
        <v>438</v>
      </c>
      <c r="I406" s="22" t="s">
        <v>26</v>
      </c>
      <c r="J406" s="22" t="s">
        <v>27</v>
      </c>
      <c r="K406" s="10" t="str">
        <f ca="1">DATEDIF('DATA PENDUDUK'!$G406,TODAY(),"Y")&amp; " TAHUN"</f>
        <v>28 TAHUN</v>
      </c>
      <c r="L406" s="24" t="s">
        <v>956</v>
      </c>
    </row>
    <row r="407" spans="1:12" ht="20.100000000000001" customHeight="1" x14ac:dyDescent="0.25">
      <c r="A407" s="8">
        <f t="shared" si="6"/>
        <v>404</v>
      </c>
      <c r="B407" s="21" t="s">
        <v>1034</v>
      </c>
      <c r="C407" s="21" t="s">
        <v>1039</v>
      </c>
      <c r="D407" s="22" t="s">
        <v>1040</v>
      </c>
      <c r="E407" s="22" t="s">
        <v>671</v>
      </c>
      <c r="F407" s="22" t="s">
        <v>681</v>
      </c>
      <c r="G407" s="23">
        <v>35423</v>
      </c>
      <c r="H407" s="22" t="s">
        <v>438</v>
      </c>
      <c r="I407" s="22" t="s">
        <v>40</v>
      </c>
      <c r="J407" s="22" t="s">
        <v>32</v>
      </c>
      <c r="K407" s="10" t="str">
        <f ca="1">DATEDIF('DATA PENDUDUK'!$G407,TODAY(),"Y")&amp; " TAHUN"</f>
        <v>28 TAHUN</v>
      </c>
      <c r="L407" s="24" t="s">
        <v>956</v>
      </c>
    </row>
    <row r="408" spans="1:12" ht="20.100000000000001" customHeight="1" x14ac:dyDescent="0.25">
      <c r="A408" s="8">
        <f t="shared" si="6"/>
        <v>405</v>
      </c>
      <c r="B408" s="21" t="s">
        <v>1034</v>
      </c>
      <c r="C408" s="21" t="s">
        <v>1041</v>
      </c>
      <c r="D408" s="22" t="s">
        <v>1042</v>
      </c>
      <c r="E408" s="22" t="s">
        <v>24</v>
      </c>
      <c r="F408" s="22" t="s">
        <v>30</v>
      </c>
      <c r="G408" s="23">
        <v>40399</v>
      </c>
      <c r="H408" s="22" t="s">
        <v>438</v>
      </c>
      <c r="I408" s="22" t="s">
        <v>31</v>
      </c>
      <c r="J408" s="22" t="s">
        <v>32</v>
      </c>
      <c r="K408" s="10" t="str">
        <f ca="1">DATEDIF('DATA PENDUDUK'!$G408,TODAY(),"Y")&amp; " TAHUN"</f>
        <v>14 TAHUN</v>
      </c>
      <c r="L408" s="24" t="s">
        <v>956</v>
      </c>
    </row>
    <row r="409" spans="1:12" ht="20.100000000000001" customHeight="1" x14ac:dyDescent="0.25">
      <c r="A409" s="8">
        <f t="shared" si="6"/>
        <v>406</v>
      </c>
      <c r="B409" s="21" t="s">
        <v>1034</v>
      </c>
      <c r="C409" s="21" t="s">
        <v>1043</v>
      </c>
      <c r="D409" s="22" t="s">
        <v>1044</v>
      </c>
      <c r="E409" s="22" t="s">
        <v>671</v>
      </c>
      <c r="F409" s="22" t="s">
        <v>30</v>
      </c>
      <c r="G409" s="23">
        <v>41629</v>
      </c>
      <c r="H409" s="22" t="s">
        <v>438</v>
      </c>
      <c r="I409" s="22" t="s">
        <v>31</v>
      </c>
      <c r="J409" s="22" t="s">
        <v>32</v>
      </c>
      <c r="K409" s="10" t="str">
        <f ca="1">DATEDIF('DATA PENDUDUK'!$G409,TODAY(),"Y")&amp; " TAHUN"</f>
        <v>11 TAHUN</v>
      </c>
      <c r="L409" s="24" t="s">
        <v>956</v>
      </c>
    </row>
    <row r="410" spans="1:12" ht="20.100000000000001" customHeight="1" x14ac:dyDescent="0.25">
      <c r="A410" s="8">
        <f t="shared" si="6"/>
        <v>407</v>
      </c>
      <c r="B410" s="21" t="s">
        <v>1034</v>
      </c>
      <c r="C410" s="21" t="s">
        <v>1045</v>
      </c>
      <c r="D410" s="22" t="s">
        <v>1046</v>
      </c>
      <c r="E410" s="22" t="s">
        <v>24</v>
      </c>
      <c r="F410" s="22" t="s">
        <v>30</v>
      </c>
      <c r="G410" s="23">
        <v>42223</v>
      </c>
      <c r="H410" s="22" t="s">
        <v>438</v>
      </c>
      <c r="I410" s="22" t="s">
        <v>31</v>
      </c>
      <c r="J410" s="22" t="s">
        <v>32</v>
      </c>
      <c r="K410" s="10" t="str">
        <f ca="1">DATEDIF('DATA PENDUDUK'!$G410,TODAY(),"Y")&amp; " TAHUN"</f>
        <v>9 TAHUN</v>
      </c>
      <c r="L410" s="24" t="s">
        <v>956</v>
      </c>
    </row>
    <row r="411" spans="1:12" ht="20.100000000000001" customHeight="1" x14ac:dyDescent="0.25">
      <c r="A411" s="8">
        <f t="shared" si="6"/>
        <v>408</v>
      </c>
      <c r="B411" s="21" t="s">
        <v>1034</v>
      </c>
      <c r="C411" s="21" t="s">
        <v>1047</v>
      </c>
      <c r="D411" s="22" t="s">
        <v>1048</v>
      </c>
      <c r="E411" s="22" t="s">
        <v>24</v>
      </c>
      <c r="F411" s="22" t="s">
        <v>30</v>
      </c>
      <c r="G411" s="23">
        <v>42909</v>
      </c>
      <c r="H411" s="22" t="s">
        <v>438</v>
      </c>
      <c r="I411" s="22" t="s">
        <v>31</v>
      </c>
      <c r="J411" s="22" t="s">
        <v>32</v>
      </c>
      <c r="K411" s="10" t="str">
        <f ca="1">DATEDIF('DATA PENDUDUK'!$G411,TODAY(),"Y")&amp; " TAHUN"</f>
        <v>8 TAHUN</v>
      </c>
      <c r="L411" s="24" t="s">
        <v>956</v>
      </c>
    </row>
    <row r="412" spans="1:12" ht="20.100000000000001" customHeight="1" x14ac:dyDescent="0.25">
      <c r="A412" s="8">
        <f t="shared" si="6"/>
        <v>409</v>
      </c>
      <c r="B412" s="21" t="s">
        <v>1034</v>
      </c>
      <c r="C412" s="21" t="s">
        <v>1049</v>
      </c>
      <c r="D412" s="22" t="s">
        <v>1050</v>
      </c>
      <c r="E412" s="22" t="s">
        <v>671</v>
      </c>
      <c r="F412" s="22" t="s">
        <v>30</v>
      </c>
      <c r="G412" s="23">
        <v>43654</v>
      </c>
      <c r="H412" s="22" t="s">
        <v>438</v>
      </c>
      <c r="I412" s="22" t="s">
        <v>40</v>
      </c>
      <c r="J412" s="22" t="s">
        <v>32</v>
      </c>
      <c r="K412" s="10" t="str">
        <f ca="1">DATEDIF('DATA PENDUDUK'!$G412,TODAY(),"Y")&amp; " TAHUN"</f>
        <v>6 TAHUN</v>
      </c>
      <c r="L412" s="24" t="s">
        <v>956</v>
      </c>
    </row>
    <row r="413" spans="1:12" ht="20.100000000000001" customHeight="1" x14ac:dyDescent="0.25">
      <c r="A413" s="8">
        <f t="shared" si="6"/>
        <v>410</v>
      </c>
      <c r="B413" s="21" t="s">
        <v>1034</v>
      </c>
      <c r="C413" s="21" t="s">
        <v>1051</v>
      </c>
      <c r="D413" s="22" t="s">
        <v>1052</v>
      </c>
      <c r="E413" s="22" t="s">
        <v>24</v>
      </c>
      <c r="F413" s="22" t="s">
        <v>30</v>
      </c>
      <c r="G413" s="23">
        <v>45111</v>
      </c>
      <c r="H413" s="22" t="s">
        <v>438</v>
      </c>
      <c r="I413" s="22" t="s">
        <v>40</v>
      </c>
      <c r="J413" s="22" t="s">
        <v>32</v>
      </c>
      <c r="K413" s="10" t="str">
        <f ca="1">DATEDIF('DATA PENDUDUK'!$G413,TODAY(),"Y")&amp; " TAHUN"</f>
        <v>2 TAHUN</v>
      </c>
      <c r="L413" s="24" t="s">
        <v>956</v>
      </c>
    </row>
    <row r="414" spans="1:12" ht="20.100000000000001" customHeight="1" x14ac:dyDescent="0.25">
      <c r="A414" s="8">
        <f t="shared" si="6"/>
        <v>411</v>
      </c>
      <c r="B414" s="21" t="s">
        <v>1053</v>
      </c>
      <c r="C414" s="21" t="s">
        <v>1054</v>
      </c>
      <c r="D414" s="22" t="s">
        <v>1055</v>
      </c>
      <c r="E414" s="22" t="s">
        <v>671</v>
      </c>
      <c r="F414" s="22" t="s">
        <v>681</v>
      </c>
      <c r="G414" s="23">
        <v>30576</v>
      </c>
      <c r="H414" s="22" t="s">
        <v>438</v>
      </c>
      <c r="I414" s="22" t="s">
        <v>19</v>
      </c>
      <c r="J414" s="22" t="s">
        <v>20</v>
      </c>
      <c r="K414" s="10" t="str">
        <f ca="1">DATEDIF('DATA PENDUDUK'!$G414,TODAY(),"Y")&amp; " TAHUN"</f>
        <v>41 TAHUN</v>
      </c>
      <c r="L414" s="24" t="s">
        <v>956</v>
      </c>
    </row>
    <row r="415" spans="1:12" ht="20.100000000000001" customHeight="1" x14ac:dyDescent="0.25">
      <c r="A415" s="8">
        <f t="shared" si="6"/>
        <v>412</v>
      </c>
      <c r="B415" s="21" t="s">
        <v>1053</v>
      </c>
      <c r="C415" s="21" t="s">
        <v>1056</v>
      </c>
      <c r="D415" s="22" t="s">
        <v>1057</v>
      </c>
      <c r="E415" s="22" t="s">
        <v>24</v>
      </c>
      <c r="F415" s="22" t="s">
        <v>681</v>
      </c>
      <c r="G415" s="23">
        <v>35917</v>
      </c>
      <c r="H415" s="22" t="s">
        <v>438</v>
      </c>
      <c r="I415" s="22" t="s">
        <v>26</v>
      </c>
      <c r="J415" s="22" t="s">
        <v>27</v>
      </c>
      <c r="K415" s="10" t="str">
        <f ca="1">DATEDIF('DATA PENDUDUK'!$G415,TODAY(),"Y")&amp; " TAHUN"</f>
        <v>27 TAHUN</v>
      </c>
      <c r="L415" s="24" t="s">
        <v>956</v>
      </c>
    </row>
    <row r="416" spans="1:12" ht="20.100000000000001" customHeight="1" x14ac:dyDescent="0.25">
      <c r="A416" s="8">
        <f t="shared" si="6"/>
        <v>413</v>
      </c>
      <c r="B416" s="21" t="s">
        <v>1053</v>
      </c>
      <c r="C416" s="21" t="s">
        <v>1058</v>
      </c>
      <c r="D416" s="22" t="s">
        <v>1059</v>
      </c>
      <c r="E416" s="22" t="s">
        <v>24</v>
      </c>
      <c r="F416" s="22" t="s">
        <v>30</v>
      </c>
      <c r="G416" s="23">
        <v>42034</v>
      </c>
      <c r="H416" s="22" t="s">
        <v>438</v>
      </c>
      <c r="I416" s="22" t="s">
        <v>31</v>
      </c>
      <c r="J416" s="22" t="s">
        <v>32</v>
      </c>
      <c r="K416" s="10" t="str">
        <f ca="1">DATEDIF('DATA PENDUDUK'!$G416,TODAY(),"Y")&amp; " TAHUN"</f>
        <v>10 TAHUN</v>
      </c>
      <c r="L416" s="24" t="s">
        <v>956</v>
      </c>
    </row>
    <row r="417" spans="1:12" ht="20.100000000000001" customHeight="1" x14ac:dyDescent="0.25">
      <c r="A417" s="8">
        <f t="shared" si="6"/>
        <v>414</v>
      </c>
      <c r="B417" s="21" t="s">
        <v>1053</v>
      </c>
      <c r="C417" s="21" t="s">
        <v>1060</v>
      </c>
      <c r="D417" s="22" t="s">
        <v>1061</v>
      </c>
      <c r="E417" s="22" t="s">
        <v>671</v>
      </c>
      <c r="F417" s="22" t="s">
        <v>30</v>
      </c>
      <c r="G417" s="23">
        <v>42728</v>
      </c>
      <c r="H417" s="22" t="s">
        <v>438</v>
      </c>
      <c r="I417" s="22" t="s">
        <v>31</v>
      </c>
      <c r="J417" s="22" t="s">
        <v>32</v>
      </c>
      <c r="K417" s="10" t="str">
        <f ca="1">DATEDIF('DATA PENDUDUK'!$G417,TODAY(),"Y")&amp; " TAHUN"</f>
        <v>8 TAHUN</v>
      </c>
      <c r="L417" s="24" t="s">
        <v>956</v>
      </c>
    </row>
    <row r="418" spans="1:12" ht="20.100000000000001" customHeight="1" x14ac:dyDescent="0.25">
      <c r="A418" s="8">
        <f t="shared" si="6"/>
        <v>415</v>
      </c>
      <c r="B418" s="21" t="s">
        <v>1053</v>
      </c>
      <c r="C418" s="21" t="s">
        <v>1062</v>
      </c>
      <c r="D418" s="22" t="s">
        <v>1063</v>
      </c>
      <c r="E418" s="22" t="s">
        <v>24</v>
      </c>
      <c r="F418" s="22" t="s">
        <v>30</v>
      </c>
      <c r="G418" s="23">
        <v>43855</v>
      </c>
      <c r="H418" s="22" t="s">
        <v>438</v>
      </c>
      <c r="I418" s="22" t="s">
        <v>40</v>
      </c>
      <c r="J418" s="22" t="s">
        <v>32</v>
      </c>
      <c r="K418" s="10" t="str">
        <f ca="1">DATEDIF('DATA PENDUDUK'!$G418,TODAY(),"Y")&amp; " TAHUN"</f>
        <v>5 TAHUN</v>
      </c>
      <c r="L418" s="24" t="s">
        <v>956</v>
      </c>
    </row>
    <row r="419" spans="1:12" ht="20.100000000000001" customHeight="1" x14ac:dyDescent="0.25">
      <c r="A419" s="8">
        <f t="shared" si="6"/>
        <v>416</v>
      </c>
      <c r="B419" s="21" t="s">
        <v>1064</v>
      </c>
      <c r="C419" s="21" t="s">
        <v>1065</v>
      </c>
      <c r="D419" s="22" t="s">
        <v>1066</v>
      </c>
      <c r="E419" s="22" t="s">
        <v>671</v>
      </c>
      <c r="F419" s="22" t="s">
        <v>955</v>
      </c>
      <c r="G419" s="23">
        <v>33642</v>
      </c>
      <c r="H419" s="22" t="s">
        <v>438</v>
      </c>
      <c r="I419" s="22" t="s">
        <v>19</v>
      </c>
      <c r="J419" s="22" t="s">
        <v>20</v>
      </c>
      <c r="K419" s="10" t="str">
        <f ca="1">DATEDIF('DATA PENDUDUK'!$G419,TODAY(),"Y")&amp; " TAHUN"</f>
        <v>33 TAHUN</v>
      </c>
      <c r="L419" s="24" t="s">
        <v>956</v>
      </c>
    </row>
    <row r="420" spans="1:12" ht="20.100000000000001" customHeight="1" x14ac:dyDescent="0.25">
      <c r="A420" s="8">
        <f t="shared" si="6"/>
        <v>417</v>
      </c>
      <c r="B420" s="21" t="s">
        <v>1064</v>
      </c>
      <c r="C420" s="21" t="s">
        <v>1067</v>
      </c>
      <c r="D420" s="22" t="s">
        <v>1068</v>
      </c>
      <c r="E420" s="22" t="s">
        <v>24</v>
      </c>
      <c r="F420" s="22" t="s">
        <v>1069</v>
      </c>
      <c r="G420" s="23">
        <v>32239</v>
      </c>
      <c r="H420" s="22" t="s">
        <v>438</v>
      </c>
      <c r="I420" s="22" t="s">
        <v>26</v>
      </c>
      <c r="J420" s="22" t="s">
        <v>27</v>
      </c>
      <c r="K420" s="10" t="str">
        <f ca="1">DATEDIF('DATA PENDUDUK'!$G420,TODAY(),"Y")&amp; " TAHUN"</f>
        <v>37 TAHUN</v>
      </c>
      <c r="L420" s="24" t="s">
        <v>956</v>
      </c>
    </row>
    <row r="421" spans="1:12" ht="20.100000000000001" customHeight="1" x14ac:dyDescent="0.25">
      <c r="A421" s="8">
        <f t="shared" si="6"/>
        <v>418</v>
      </c>
      <c r="B421" s="21" t="s">
        <v>1070</v>
      </c>
      <c r="C421" s="21" t="s">
        <v>1071</v>
      </c>
      <c r="D421" s="22" t="s">
        <v>1072</v>
      </c>
      <c r="E421" s="22" t="s">
        <v>671</v>
      </c>
      <c r="F421" s="22" t="s">
        <v>1073</v>
      </c>
      <c r="G421" s="23">
        <v>30441</v>
      </c>
      <c r="H421" s="22" t="s">
        <v>438</v>
      </c>
      <c r="I421" s="22" t="s">
        <v>36</v>
      </c>
      <c r="J421" s="22" t="s">
        <v>20</v>
      </c>
      <c r="K421" s="10" t="str">
        <f ca="1">DATEDIF('DATA PENDUDUK'!$G421,TODAY(),"Y")&amp; " TAHUN"</f>
        <v>42 TAHUN</v>
      </c>
      <c r="L421" s="24" t="s">
        <v>956</v>
      </c>
    </row>
    <row r="422" spans="1:12" ht="20.100000000000001" customHeight="1" x14ac:dyDescent="0.25">
      <c r="A422" s="8">
        <f t="shared" si="6"/>
        <v>419</v>
      </c>
      <c r="B422" s="21" t="s">
        <v>1070</v>
      </c>
      <c r="C422" s="21" t="s">
        <v>1074</v>
      </c>
      <c r="D422" s="22" t="s">
        <v>1075</v>
      </c>
      <c r="E422" s="22" t="s">
        <v>24</v>
      </c>
      <c r="F422" s="22" t="s">
        <v>1076</v>
      </c>
      <c r="G422" s="23">
        <v>29422</v>
      </c>
      <c r="H422" s="22" t="s">
        <v>438</v>
      </c>
      <c r="I422" s="22" t="s">
        <v>26</v>
      </c>
      <c r="J422" s="22" t="s">
        <v>27</v>
      </c>
      <c r="K422" s="10" t="str">
        <f ca="1">DATEDIF('DATA PENDUDUK'!$G422,TODAY(),"Y")&amp; " TAHUN"</f>
        <v>45 TAHUN</v>
      </c>
      <c r="L422" s="24" t="s">
        <v>956</v>
      </c>
    </row>
    <row r="423" spans="1:12" ht="20.100000000000001" customHeight="1" x14ac:dyDescent="0.25">
      <c r="A423" s="8">
        <f t="shared" si="6"/>
        <v>420</v>
      </c>
      <c r="B423" s="21" t="s">
        <v>1070</v>
      </c>
      <c r="C423" s="21" t="s">
        <v>1077</v>
      </c>
      <c r="D423" s="22" t="s">
        <v>1078</v>
      </c>
      <c r="E423" s="22" t="s">
        <v>24</v>
      </c>
      <c r="F423" s="22" t="s">
        <v>768</v>
      </c>
      <c r="G423" s="23">
        <v>24634</v>
      </c>
      <c r="H423" s="22" t="s">
        <v>438</v>
      </c>
      <c r="I423" s="22" t="s">
        <v>40</v>
      </c>
      <c r="J423" s="22" t="s">
        <v>32</v>
      </c>
      <c r="K423" s="10" t="str">
        <f ca="1">DATEDIF('DATA PENDUDUK'!$G423,TODAY(),"Y")&amp; " TAHUN"</f>
        <v>58 TAHUN</v>
      </c>
      <c r="L423" s="24" t="s">
        <v>956</v>
      </c>
    </row>
    <row r="424" spans="1:12" ht="20.100000000000001" customHeight="1" x14ac:dyDescent="0.25">
      <c r="A424" s="8">
        <f t="shared" si="6"/>
        <v>421</v>
      </c>
      <c r="B424" s="21" t="s">
        <v>1070</v>
      </c>
      <c r="C424" s="21" t="s">
        <v>1079</v>
      </c>
      <c r="D424" s="22" t="s">
        <v>1080</v>
      </c>
      <c r="E424" s="22" t="s">
        <v>671</v>
      </c>
      <c r="F424" s="22" t="s">
        <v>30</v>
      </c>
      <c r="G424" s="23">
        <v>38778</v>
      </c>
      <c r="H424" s="22" t="s">
        <v>438</v>
      </c>
      <c r="I424" s="22" t="s">
        <v>40</v>
      </c>
      <c r="J424" s="22" t="s">
        <v>32</v>
      </c>
      <c r="K424" s="10" t="str">
        <f ca="1">DATEDIF('DATA PENDUDUK'!$G424,TODAY(),"Y")&amp; " TAHUN"</f>
        <v>19 TAHUN</v>
      </c>
      <c r="L424" s="24" t="s">
        <v>956</v>
      </c>
    </row>
    <row r="425" spans="1:12" ht="20.100000000000001" customHeight="1" x14ac:dyDescent="0.25">
      <c r="A425" s="8">
        <f t="shared" si="6"/>
        <v>422</v>
      </c>
      <c r="B425" s="21" t="s">
        <v>1070</v>
      </c>
      <c r="C425" s="21" t="s">
        <v>1081</v>
      </c>
      <c r="D425" s="22" t="s">
        <v>1082</v>
      </c>
      <c r="E425" s="22" t="s">
        <v>24</v>
      </c>
      <c r="F425" s="22" t="s">
        <v>30</v>
      </c>
      <c r="G425" s="23">
        <v>39584</v>
      </c>
      <c r="H425" s="22" t="s">
        <v>438</v>
      </c>
      <c r="I425" s="22" t="s">
        <v>31</v>
      </c>
      <c r="J425" s="22" t="s">
        <v>32</v>
      </c>
      <c r="K425" s="10" t="str">
        <f ca="1">DATEDIF('DATA PENDUDUK'!$G425,TODAY(),"Y")&amp; " TAHUN"</f>
        <v>17 TAHUN</v>
      </c>
      <c r="L425" s="24" t="s">
        <v>956</v>
      </c>
    </row>
    <row r="426" spans="1:12" ht="20.100000000000001" customHeight="1" x14ac:dyDescent="0.25">
      <c r="A426" s="8">
        <f t="shared" si="6"/>
        <v>423</v>
      </c>
      <c r="B426" s="21" t="s">
        <v>1070</v>
      </c>
      <c r="C426" s="21" t="s">
        <v>1083</v>
      </c>
      <c r="D426" s="22" t="s">
        <v>1084</v>
      </c>
      <c r="E426" s="22" t="s">
        <v>671</v>
      </c>
      <c r="F426" s="22" t="s">
        <v>376</v>
      </c>
      <c r="G426" s="23">
        <v>40427</v>
      </c>
      <c r="H426" s="22" t="s">
        <v>438</v>
      </c>
      <c r="I426" s="22" t="s">
        <v>31</v>
      </c>
      <c r="J426" s="22" t="s">
        <v>32</v>
      </c>
      <c r="K426" s="10" t="str">
        <f ca="1">DATEDIF('DATA PENDUDUK'!$G426,TODAY(),"Y")&amp; " TAHUN"</f>
        <v>14 TAHUN</v>
      </c>
      <c r="L426" s="24" t="s">
        <v>956</v>
      </c>
    </row>
    <row r="427" spans="1:12" ht="20.100000000000001" customHeight="1" x14ac:dyDescent="0.25">
      <c r="A427" s="8">
        <f t="shared" si="6"/>
        <v>424</v>
      </c>
      <c r="B427" s="21" t="s">
        <v>1070</v>
      </c>
      <c r="C427" s="21" t="s">
        <v>1085</v>
      </c>
      <c r="D427" s="22" t="s">
        <v>1086</v>
      </c>
      <c r="E427" s="22" t="s">
        <v>671</v>
      </c>
      <c r="F427" s="22" t="s">
        <v>30</v>
      </c>
      <c r="G427" s="23">
        <v>42972</v>
      </c>
      <c r="H427" s="22" t="s">
        <v>438</v>
      </c>
      <c r="I427" s="22" t="s">
        <v>40</v>
      </c>
      <c r="J427" s="22" t="s">
        <v>32</v>
      </c>
      <c r="K427" s="10" t="str">
        <f ca="1">DATEDIF('DATA PENDUDUK'!$G427,TODAY(),"Y")&amp; " TAHUN"</f>
        <v>7 TAHUN</v>
      </c>
      <c r="L427" s="24" t="s">
        <v>956</v>
      </c>
    </row>
    <row r="428" spans="1:12" ht="20.100000000000001" customHeight="1" x14ac:dyDescent="0.25">
      <c r="A428" s="8">
        <f t="shared" si="6"/>
        <v>425</v>
      </c>
      <c r="B428" s="21" t="s">
        <v>1087</v>
      </c>
      <c r="C428" s="21" t="s">
        <v>1088</v>
      </c>
      <c r="D428" s="22" t="s">
        <v>1089</v>
      </c>
      <c r="E428" s="22" t="s">
        <v>24</v>
      </c>
      <c r="F428" s="22" t="s">
        <v>955</v>
      </c>
      <c r="G428" s="23">
        <v>34424</v>
      </c>
      <c r="H428" s="22" t="s">
        <v>438</v>
      </c>
      <c r="I428" s="22" t="s">
        <v>19</v>
      </c>
      <c r="J428" s="22" t="s">
        <v>20</v>
      </c>
      <c r="K428" s="10" t="str">
        <f ca="1">DATEDIF('DATA PENDUDUK'!$G428,TODAY(),"Y")&amp; " TAHUN"</f>
        <v>31 TAHUN</v>
      </c>
      <c r="L428" s="24" t="s">
        <v>956</v>
      </c>
    </row>
    <row r="429" spans="1:12" ht="20.100000000000001" customHeight="1" x14ac:dyDescent="0.25">
      <c r="A429" s="8">
        <f t="shared" si="6"/>
        <v>426</v>
      </c>
      <c r="B429" s="21" t="s">
        <v>1087</v>
      </c>
      <c r="C429" s="21" t="s">
        <v>1090</v>
      </c>
      <c r="D429" s="22" t="s">
        <v>1091</v>
      </c>
      <c r="E429" s="22" t="s">
        <v>24</v>
      </c>
      <c r="F429" s="22" t="s">
        <v>30</v>
      </c>
      <c r="G429" s="23">
        <v>42432</v>
      </c>
      <c r="H429" s="22" t="s">
        <v>438</v>
      </c>
      <c r="I429" s="22" t="s">
        <v>31</v>
      </c>
      <c r="J429" s="22" t="s">
        <v>32</v>
      </c>
      <c r="K429" s="10" t="str">
        <f ca="1">DATEDIF('DATA PENDUDUK'!$G429,TODAY(),"Y")&amp; " TAHUN"</f>
        <v>9 TAHUN</v>
      </c>
      <c r="L429" s="24" t="s">
        <v>956</v>
      </c>
    </row>
    <row r="430" spans="1:12" ht="20.100000000000001" customHeight="1" x14ac:dyDescent="0.25">
      <c r="A430" s="8">
        <f t="shared" si="6"/>
        <v>427</v>
      </c>
      <c r="B430" s="21" t="s">
        <v>1087</v>
      </c>
      <c r="C430" s="21" t="s">
        <v>1092</v>
      </c>
      <c r="D430" s="22" t="s">
        <v>1093</v>
      </c>
      <c r="E430" s="22" t="s">
        <v>24</v>
      </c>
      <c r="F430" s="22" t="s">
        <v>30</v>
      </c>
      <c r="G430" s="23">
        <v>42973</v>
      </c>
      <c r="H430" s="22" t="s">
        <v>438</v>
      </c>
      <c r="I430" s="22" t="s">
        <v>40</v>
      </c>
      <c r="J430" s="22" t="s">
        <v>32</v>
      </c>
      <c r="K430" s="10" t="str">
        <f ca="1">DATEDIF('DATA PENDUDUK'!$G430,TODAY(),"Y")&amp; " TAHUN"</f>
        <v>7 TAHUN</v>
      </c>
      <c r="L430" s="24" t="s">
        <v>956</v>
      </c>
    </row>
    <row r="431" spans="1:12" ht="20.100000000000001" customHeight="1" x14ac:dyDescent="0.25">
      <c r="A431" s="8">
        <f t="shared" si="6"/>
        <v>428</v>
      </c>
      <c r="B431" s="21" t="s">
        <v>1094</v>
      </c>
      <c r="C431" s="21" t="s">
        <v>1095</v>
      </c>
      <c r="D431" s="22" t="s">
        <v>1096</v>
      </c>
      <c r="E431" s="22" t="s">
        <v>24</v>
      </c>
      <c r="F431" s="22" t="s">
        <v>780</v>
      </c>
      <c r="G431" s="23">
        <v>31484</v>
      </c>
      <c r="H431" s="22" t="s">
        <v>438</v>
      </c>
      <c r="I431" s="22" t="s">
        <v>36</v>
      </c>
      <c r="J431" s="22" t="s">
        <v>20</v>
      </c>
      <c r="K431" s="10" t="str">
        <f ca="1">DATEDIF('DATA PENDUDUK'!$G431,TODAY(),"Y")&amp; " TAHUN"</f>
        <v>39 TAHUN</v>
      </c>
      <c r="L431" s="24" t="s">
        <v>956</v>
      </c>
    </row>
    <row r="432" spans="1:12" ht="20.100000000000001" customHeight="1" x14ac:dyDescent="0.25">
      <c r="A432" s="8">
        <f t="shared" si="6"/>
        <v>429</v>
      </c>
      <c r="B432" s="21" t="s">
        <v>1094</v>
      </c>
      <c r="C432" s="21" t="s">
        <v>1097</v>
      </c>
      <c r="D432" s="22" t="s">
        <v>1098</v>
      </c>
      <c r="E432" s="22" t="s">
        <v>671</v>
      </c>
      <c r="F432" s="22" t="s">
        <v>30</v>
      </c>
      <c r="G432" s="23">
        <v>38677</v>
      </c>
      <c r="H432" s="22" t="s">
        <v>438</v>
      </c>
      <c r="I432" s="22" t="s">
        <v>31</v>
      </c>
      <c r="J432" s="22" t="s">
        <v>32</v>
      </c>
      <c r="K432" s="10" t="str">
        <f ca="1">DATEDIF('DATA PENDUDUK'!$G432,TODAY(),"Y")&amp; " TAHUN"</f>
        <v>19 TAHUN</v>
      </c>
      <c r="L432" s="24" t="s">
        <v>956</v>
      </c>
    </row>
    <row r="433" spans="1:12" ht="20.100000000000001" customHeight="1" x14ac:dyDescent="0.25">
      <c r="A433" s="8">
        <f t="shared" si="6"/>
        <v>430</v>
      </c>
      <c r="B433" s="21" t="s">
        <v>1094</v>
      </c>
      <c r="C433" s="21" t="s">
        <v>1099</v>
      </c>
      <c r="D433" s="22" t="s">
        <v>1100</v>
      </c>
      <c r="E433" s="22" t="s">
        <v>671</v>
      </c>
      <c r="F433" s="22" t="s">
        <v>30</v>
      </c>
      <c r="G433" s="23">
        <v>39684</v>
      </c>
      <c r="H433" s="22" t="s">
        <v>438</v>
      </c>
      <c r="I433" s="22" t="s">
        <v>31</v>
      </c>
      <c r="J433" s="22" t="s">
        <v>32</v>
      </c>
      <c r="K433" s="10" t="str">
        <f ca="1">DATEDIF('DATA PENDUDUK'!$G433,TODAY(),"Y")&amp; " TAHUN"</f>
        <v>16 TAHUN</v>
      </c>
      <c r="L433" s="24" t="s">
        <v>956</v>
      </c>
    </row>
    <row r="434" spans="1:12" ht="20.100000000000001" customHeight="1" x14ac:dyDescent="0.25">
      <c r="A434" s="8">
        <f t="shared" si="6"/>
        <v>431</v>
      </c>
      <c r="B434" s="21" t="s">
        <v>1094</v>
      </c>
      <c r="C434" s="21" t="s">
        <v>1101</v>
      </c>
      <c r="D434" s="22" t="s">
        <v>1102</v>
      </c>
      <c r="E434" s="22" t="s">
        <v>24</v>
      </c>
      <c r="F434" s="22" t="s">
        <v>30</v>
      </c>
      <c r="G434" s="23">
        <v>40892</v>
      </c>
      <c r="H434" s="22" t="s">
        <v>438</v>
      </c>
      <c r="I434" s="22" t="s">
        <v>31</v>
      </c>
      <c r="J434" s="22" t="s">
        <v>32</v>
      </c>
      <c r="K434" s="10" t="str">
        <f ca="1">DATEDIF('DATA PENDUDUK'!$G434,TODAY(),"Y")&amp; " TAHUN"</f>
        <v>13 TAHUN</v>
      </c>
      <c r="L434" s="24" t="s">
        <v>956</v>
      </c>
    </row>
    <row r="435" spans="1:12" ht="20.100000000000001" customHeight="1" x14ac:dyDescent="0.25">
      <c r="A435" s="8">
        <f t="shared" si="6"/>
        <v>432</v>
      </c>
      <c r="B435" s="21" t="s">
        <v>1006</v>
      </c>
      <c r="C435" s="21" t="s">
        <v>1007</v>
      </c>
      <c r="D435" s="22" t="s">
        <v>1103</v>
      </c>
      <c r="E435" s="22" t="s">
        <v>671</v>
      </c>
      <c r="F435" s="22" t="s">
        <v>955</v>
      </c>
      <c r="G435" s="23">
        <v>29051</v>
      </c>
      <c r="H435" s="22" t="s">
        <v>438</v>
      </c>
      <c r="I435" s="22" t="s">
        <v>162</v>
      </c>
      <c r="J435" s="22" t="s">
        <v>20</v>
      </c>
      <c r="K435" s="10" t="str">
        <f ca="1">DATEDIF('DATA PENDUDUK'!$G435,TODAY(),"Y")&amp; " TAHUN"</f>
        <v>46 TAHUN</v>
      </c>
      <c r="L435" s="24" t="s">
        <v>956</v>
      </c>
    </row>
    <row r="436" spans="1:12" ht="20.100000000000001" customHeight="1" x14ac:dyDescent="0.25">
      <c r="A436" s="8">
        <f t="shared" si="6"/>
        <v>433</v>
      </c>
      <c r="B436" s="21" t="s">
        <v>1006</v>
      </c>
      <c r="C436" s="21" t="s">
        <v>1009</v>
      </c>
      <c r="D436" s="22" t="s">
        <v>1010</v>
      </c>
      <c r="E436" s="22" t="s">
        <v>24</v>
      </c>
      <c r="F436" s="22" t="s">
        <v>863</v>
      </c>
      <c r="G436" s="23">
        <v>25062</v>
      </c>
      <c r="H436" s="22" t="s">
        <v>438</v>
      </c>
      <c r="I436" s="22" t="s">
        <v>26</v>
      </c>
      <c r="J436" s="22" t="s">
        <v>27</v>
      </c>
      <c r="K436" s="10" t="str">
        <f ca="1">DATEDIF('DATA PENDUDUK'!$G436,TODAY(),"Y")&amp; " TAHUN"</f>
        <v>56 TAHUN</v>
      </c>
      <c r="L436" s="24" t="s">
        <v>956</v>
      </c>
    </row>
    <row r="437" spans="1:12" ht="20.100000000000001" customHeight="1" x14ac:dyDescent="0.25">
      <c r="A437" s="8">
        <f t="shared" si="6"/>
        <v>434</v>
      </c>
      <c r="B437" s="21" t="s">
        <v>1006</v>
      </c>
      <c r="C437" s="21" t="s">
        <v>1011</v>
      </c>
      <c r="D437" s="22" t="s">
        <v>1012</v>
      </c>
      <c r="E437" s="22" t="s">
        <v>671</v>
      </c>
      <c r="F437" s="22" t="s">
        <v>30</v>
      </c>
      <c r="G437" s="23">
        <v>36872</v>
      </c>
      <c r="H437" s="22" t="s">
        <v>438</v>
      </c>
      <c r="I437" s="22" t="s">
        <v>40</v>
      </c>
      <c r="J437" s="22" t="s">
        <v>32</v>
      </c>
      <c r="K437" s="10" t="str">
        <f ca="1">DATEDIF('DATA PENDUDUK'!$G437,TODAY(),"Y")&amp; " TAHUN"</f>
        <v>24 TAHUN</v>
      </c>
      <c r="L437" s="24" t="s">
        <v>956</v>
      </c>
    </row>
    <row r="438" spans="1:12" ht="20.100000000000001" customHeight="1" x14ac:dyDescent="0.25">
      <c r="A438" s="8">
        <f t="shared" si="6"/>
        <v>435</v>
      </c>
      <c r="B438" s="21" t="s">
        <v>1006</v>
      </c>
      <c r="C438" s="21" t="s">
        <v>1013</v>
      </c>
      <c r="D438" s="22" t="s">
        <v>1014</v>
      </c>
      <c r="E438" s="22" t="s">
        <v>24</v>
      </c>
      <c r="F438" s="22" t="s">
        <v>30</v>
      </c>
      <c r="G438" s="23">
        <v>37663</v>
      </c>
      <c r="H438" s="22" t="s">
        <v>438</v>
      </c>
      <c r="I438" s="22" t="s">
        <v>40</v>
      </c>
      <c r="J438" s="22" t="s">
        <v>32</v>
      </c>
      <c r="K438" s="10" t="str">
        <f ca="1">DATEDIF('DATA PENDUDUK'!$G438,TODAY(),"Y")&amp; " TAHUN"</f>
        <v>22 TAHUN</v>
      </c>
      <c r="L438" s="24" t="s">
        <v>956</v>
      </c>
    </row>
    <row r="439" spans="1:12" ht="20.100000000000001" customHeight="1" x14ac:dyDescent="0.25">
      <c r="A439" s="8">
        <f t="shared" si="6"/>
        <v>436</v>
      </c>
      <c r="B439" s="21" t="s">
        <v>1006</v>
      </c>
      <c r="C439" s="21" t="s">
        <v>1015</v>
      </c>
      <c r="D439" s="22" t="s">
        <v>1016</v>
      </c>
      <c r="E439" s="22" t="s">
        <v>671</v>
      </c>
      <c r="F439" s="22" t="s">
        <v>30</v>
      </c>
      <c r="G439" s="23">
        <v>38870</v>
      </c>
      <c r="H439" s="22" t="s">
        <v>438</v>
      </c>
      <c r="I439" s="22" t="s">
        <v>40</v>
      </c>
      <c r="J439" s="22" t="s">
        <v>32</v>
      </c>
      <c r="K439" s="10" t="str">
        <f ca="1">DATEDIF('DATA PENDUDUK'!$G439,TODAY(),"Y")&amp; " TAHUN"</f>
        <v>19 TAHUN</v>
      </c>
      <c r="L439" s="24" t="s">
        <v>956</v>
      </c>
    </row>
    <row r="440" spans="1:12" ht="20.100000000000001" customHeight="1" x14ac:dyDescent="0.25">
      <c r="A440" s="8">
        <f t="shared" si="6"/>
        <v>437</v>
      </c>
      <c r="B440" s="21" t="s">
        <v>1006</v>
      </c>
      <c r="C440" s="21" t="s">
        <v>1017</v>
      </c>
      <c r="D440" s="22" t="s">
        <v>1104</v>
      </c>
      <c r="E440" s="22" t="s">
        <v>24</v>
      </c>
      <c r="F440" s="22" t="s">
        <v>30</v>
      </c>
      <c r="G440" s="23">
        <v>40546</v>
      </c>
      <c r="H440" s="22" t="s">
        <v>438</v>
      </c>
      <c r="I440" s="22" t="s">
        <v>31</v>
      </c>
      <c r="J440" s="22" t="s">
        <v>32</v>
      </c>
      <c r="K440" s="10" t="str">
        <f ca="1">DATEDIF('DATA PENDUDUK'!$G440,TODAY(),"Y")&amp; " TAHUN"</f>
        <v>14 TAHUN</v>
      </c>
      <c r="L440" s="24" t="s">
        <v>956</v>
      </c>
    </row>
    <row r="441" spans="1:12" ht="20.100000000000001" customHeight="1" x14ac:dyDescent="0.25">
      <c r="A441" s="8">
        <f t="shared" si="6"/>
        <v>438</v>
      </c>
      <c r="B441" s="21" t="s">
        <v>1105</v>
      </c>
      <c r="C441" s="21" t="s">
        <v>1106</v>
      </c>
      <c r="D441" s="22" t="s">
        <v>1107</v>
      </c>
      <c r="E441" s="22" t="s">
        <v>24</v>
      </c>
      <c r="F441" s="22" t="s">
        <v>955</v>
      </c>
      <c r="G441" s="23">
        <v>31024</v>
      </c>
      <c r="H441" s="22" t="s">
        <v>438</v>
      </c>
      <c r="I441" s="22" t="s">
        <v>36</v>
      </c>
      <c r="J441" s="22" t="s">
        <v>20</v>
      </c>
      <c r="K441" s="10" t="str">
        <f ca="1">DATEDIF('DATA PENDUDUK'!$G441,TODAY(),"Y")&amp; " TAHUN"</f>
        <v>40 TAHUN</v>
      </c>
      <c r="L441" s="24" t="s">
        <v>956</v>
      </c>
    </row>
    <row r="442" spans="1:12" ht="20.100000000000001" customHeight="1" x14ac:dyDescent="0.25">
      <c r="A442" s="8">
        <f t="shared" si="6"/>
        <v>439</v>
      </c>
      <c r="B442" s="21" t="s">
        <v>1105</v>
      </c>
      <c r="C442" s="21" t="s">
        <v>1108</v>
      </c>
      <c r="D442" s="22" t="s">
        <v>1109</v>
      </c>
      <c r="E442" s="22" t="s">
        <v>671</v>
      </c>
      <c r="F442" s="22" t="s">
        <v>1110</v>
      </c>
      <c r="G442" s="23">
        <v>34217</v>
      </c>
      <c r="H442" s="22" t="s">
        <v>438</v>
      </c>
      <c r="I442" s="22" t="s">
        <v>40</v>
      </c>
      <c r="J442" s="22" t="s">
        <v>32</v>
      </c>
      <c r="K442" s="10" t="str">
        <f ca="1">DATEDIF('DATA PENDUDUK'!$G442,TODAY(),"Y")&amp; " TAHUN"</f>
        <v>31 TAHUN</v>
      </c>
      <c r="L442" s="24" t="s">
        <v>956</v>
      </c>
    </row>
    <row r="443" spans="1:12" ht="20.100000000000001" customHeight="1" x14ac:dyDescent="0.25">
      <c r="A443" s="8">
        <f t="shared" si="6"/>
        <v>440</v>
      </c>
      <c r="B443" s="21" t="s">
        <v>1105</v>
      </c>
      <c r="C443" s="21" t="s">
        <v>1111</v>
      </c>
      <c r="D443" s="22" t="s">
        <v>1112</v>
      </c>
      <c r="E443" s="22" t="s">
        <v>671</v>
      </c>
      <c r="F443" s="22" t="s">
        <v>1113</v>
      </c>
      <c r="G443" s="23">
        <v>35223</v>
      </c>
      <c r="H443" s="22" t="s">
        <v>438</v>
      </c>
      <c r="I443" s="22" t="s">
        <v>40</v>
      </c>
      <c r="J443" s="22" t="s">
        <v>32</v>
      </c>
      <c r="K443" s="10" t="str">
        <f ca="1">DATEDIF('DATA PENDUDUK'!$G443,TODAY(),"Y")&amp; " TAHUN"</f>
        <v>29 TAHUN</v>
      </c>
      <c r="L443" s="24" t="s">
        <v>956</v>
      </c>
    </row>
    <row r="444" spans="1:12" ht="20.100000000000001" customHeight="1" x14ac:dyDescent="0.25">
      <c r="A444" s="8">
        <f t="shared" si="6"/>
        <v>441</v>
      </c>
      <c r="B444" s="21" t="s">
        <v>1105</v>
      </c>
      <c r="C444" s="21" t="s">
        <v>1114</v>
      </c>
      <c r="D444" s="22" t="s">
        <v>1115</v>
      </c>
      <c r="E444" s="22" t="s">
        <v>24</v>
      </c>
      <c r="F444" s="22" t="s">
        <v>1116</v>
      </c>
      <c r="G444" s="23">
        <v>37927</v>
      </c>
      <c r="H444" s="22" t="s">
        <v>438</v>
      </c>
      <c r="I444" s="22" t="s">
        <v>40</v>
      </c>
      <c r="J444" s="22" t="s">
        <v>32</v>
      </c>
      <c r="K444" s="10" t="str">
        <f ca="1">DATEDIF('DATA PENDUDUK'!$G444,TODAY(),"Y")&amp; " TAHUN"</f>
        <v>21 TAHUN</v>
      </c>
      <c r="L444" s="24" t="s">
        <v>956</v>
      </c>
    </row>
    <row r="445" spans="1:12" ht="20.100000000000001" customHeight="1" x14ac:dyDescent="0.25">
      <c r="A445" s="8">
        <f t="shared" si="6"/>
        <v>442</v>
      </c>
      <c r="B445" s="21" t="s">
        <v>1105</v>
      </c>
      <c r="C445" s="21" t="s">
        <v>1117</v>
      </c>
      <c r="D445" s="22" t="s">
        <v>1118</v>
      </c>
      <c r="E445" s="22" t="s">
        <v>671</v>
      </c>
      <c r="F445" s="22" t="s">
        <v>1119</v>
      </c>
      <c r="G445" s="23">
        <v>38846</v>
      </c>
      <c r="H445" s="22" t="s">
        <v>438</v>
      </c>
      <c r="I445" s="22" t="s">
        <v>40</v>
      </c>
      <c r="J445" s="22" t="s">
        <v>32</v>
      </c>
      <c r="K445" s="10" t="str">
        <f ca="1">DATEDIF('DATA PENDUDUK'!$G445,TODAY(),"Y")&amp; " TAHUN"</f>
        <v>19 TAHUN</v>
      </c>
      <c r="L445" s="24" t="s">
        <v>956</v>
      </c>
    </row>
    <row r="446" spans="1:12" ht="20.100000000000001" customHeight="1" x14ac:dyDescent="0.25">
      <c r="A446" s="8">
        <f t="shared" si="6"/>
        <v>443</v>
      </c>
      <c r="B446" s="21" t="s">
        <v>1105</v>
      </c>
      <c r="C446" s="21" t="s">
        <v>1120</v>
      </c>
      <c r="D446" s="22" t="s">
        <v>1121</v>
      </c>
      <c r="E446" s="22" t="s">
        <v>671</v>
      </c>
      <c r="F446" s="22" t="s">
        <v>1122</v>
      </c>
      <c r="G446" s="23">
        <v>39223</v>
      </c>
      <c r="H446" s="22" t="s">
        <v>438</v>
      </c>
      <c r="I446" s="22" t="s">
        <v>31</v>
      </c>
      <c r="J446" s="22" t="s">
        <v>32</v>
      </c>
      <c r="K446" s="10" t="str">
        <f ca="1">DATEDIF('DATA PENDUDUK'!$G446,TODAY(),"Y")&amp; " TAHUN"</f>
        <v>18 TAHUN</v>
      </c>
      <c r="L446" s="24" t="s">
        <v>956</v>
      </c>
    </row>
    <row r="447" spans="1:12" ht="20.100000000000001" customHeight="1" x14ac:dyDescent="0.25">
      <c r="A447" s="8">
        <f t="shared" si="6"/>
        <v>444</v>
      </c>
      <c r="B447" s="21" t="s">
        <v>1105</v>
      </c>
      <c r="C447" s="21" t="s">
        <v>1123</v>
      </c>
      <c r="D447" s="22" t="s">
        <v>1124</v>
      </c>
      <c r="E447" s="22" t="s">
        <v>671</v>
      </c>
      <c r="F447" s="22" t="s">
        <v>1125</v>
      </c>
      <c r="G447" s="23">
        <v>39788</v>
      </c>
      <c r="H447" s="22" t="s">
        <v>438</v>
      </c>
      <c r="I447" s="22" t="s">
        <v>31</v>
      </c>
      <c r="J447" s="22" t="s">
        <v>32</v>
      </c>
      <c r="K447" s="10" t="str">
        <f ca="1">DATEDIF('DATA PENDUDUK'!$G447,TODAY(),"Y")&amp; " TAHUN"</f>
        <v>16 TAHUN</v>
      </c>
      <c r="L447" s="24" t="s">
        <v>956</v>
      </c>
    </row>
    <row r="448" spans="1:12" ht="20.100000000000001" customHeight="1" x14ac:dyDescent="0.25">
      <c r="A448" s="8">
        <f t="shared" si="6"/>
        <v>445</v>
      </c>
      <c r="B448" s="21" t="s">
        <v>1105</v>
      </c>
      <c r="C448" s="21" t="s">
        <v>1126</v>
      </c>
      <c r="D448" s="22" t="s">
        <v>1127</v>
      </c>
      <c r="E448" s="22" t="s">
        <v>24</v>
      </c>
      <c r="F448" s="22" t="s">
        <v>1128</v>
      </c>
      <c r="G448" s="23">
        <v>40307</v>
      </c>
      <c r="H448" s="22" t="s">
        <v>438</v>
      </c>
      <c r="I448" s="22" t="s">
        <v>31</v>
      </c>
      <c r="J448" s="22" t="s">
        <v>32</v>
      </c>
      <c r="K448" s="10" t="str">
        <f ca="1">DATEDIF('DATA PENDUDUK'!$G448,TODAY(),"Y")&amp; " TAHUN"</f>
        <v>15 TAHUN</v>
      </c>
      <c r="L448" s="24" t="s">
        <v>956</v>
      </c>
    </row>
    <row r="449" spans="1:12" ht="20.100000000000001" customHeight="1" x14ac:dyDescent="0.25">
      <c r="A449" s="8">
        <f t="shared" si="6"/>
        <v>446</v>
      </c>
      <c r="B449" s="21" t="s">
        <v>1129</v>
      </c>
      <c r="C449" s="21" t="s">
        <v>1130</v>
      </c>
      <c r="D449" s="22" t="s">
        <v>1131</v>
      </c>
      <c r="E449" s="22" t="s">
        <v>24</v>
      </c>
      <c r="F449" s="22" t="s">
        <v>989</v>
      </c>
      <c r="G449" s="23">
        <v>20408</v>
      </c>
      <c r="H449" s="22" t="s">
        <v>438</v>
      </c>
      <c r="I449" s="22" t="s">
        <v>26</v>
      </c>
      <c r="J449" s="22" t="s">
        <v>20</v>
      </c>
      <c r="K449" s="10" t="str">
        <f ca="1">DATEDIF('DATA PENDUDUK'!$G449,TODAY(),"Y")&amp; " TAHUN"</f>
        <v>69 TAHUN</v>
      </c>
      <c r="L449" s="24" t="s">
        <v>956</v>
      </c>
    </row>
    <row r="450" spans="1:12" ht="20.100000000000001" customHeight="1" x14ac:dyDescent="0.25">
      <c r="A450" s="8">
        <f t="shared" si="6"/>
        <v>447</v>
      </c>
      <c r="B450" s="21" t="s">
        <v>1129</v>
      </c>
      <c r="C450" s="21" t="s">
        <v>1132</v>
      </c>
      <c r="D450" s="22" t="s">
        <v>1133</v>
      </c>
      <c r="E450" s="22" t="s">
        <v>671</v>
      </c>
      <c r="F450" s="22" t="s">
        <v>1134</v>
      </c>
      <c r="G450" s="23">
        <v>32211</v>
      </c>
      <c r="H450" s="22" t="s">
        <v>438</v>
      </c>
      <c r="I450" s="22" t="s">
        <v>19</v>
      </c>
      <c r="J450" s="22" t="s">
        <v>32</v>
      </c>
      <c r="K450" s="10" t="str">
        <f ca="1">DATEDIF('DATA PENDUDUK'!$G450,TODAY(),"Y")&amp; " TAHUN"</f>
        <v>37 TAHUN</v>
      </c>
      <c r="L450" s="24" t="s">
        <v>956</v>
      </c>
    </row>
    <row r="451" spans="1:12" ht="20.100000000000001" customHeight="1" x14ac:dyDescent="0.25">
      <c r="A451" s="8">
        <f t="shared" si="6"/>
        <v>448</v>
      </c>
      <c r="B451" s="21" t="s">
        <v>1129</v>
      </c>
      <c r="C451" s="21" t="s">
        <v>1135</v>
      </c>
      <c r="D451" s="22" t="s">
        <v>1136</v>
      </c>
      <c r="E451" s="22" t="s">
        <v>24</v>
      </c>
      <c r="F451" s="22" t="s">
        <v>1137</v>
      </c>
      <c r="G451" s="23">
        <v>34243</v>
      </c>
      <c r="H451" s="22" t="s">
        <v>438</v>
      </c>
      <c r="I451" s="22" t="s">
        <v>40</v>
      </c>
      <c r="J451" s="22" t="s">
        <v>32</v>
      </c>
      <c r="K451" s="10" t="str">
        <f ca="1">DATEDIF('DATA PENDUDUK'!$G451,TODAY(),"Y")&amp; " TAHUN"</f>
        <v>31 TAHUN</v>
      </c>
      <c r="L451" s="24" t="s">
        <v>956</v>
      </c>
    </row>
    <row r="452" spans="1:12" ht="20.100000000000001" customHeight="1" x14ac:dyDescent="0.25">
      <c r="A452" s="8">
        <f t="shared" si="6"/>
        <v>449</v>
      </c>
      <c r="B452" s="21" t="s">
        <v>1129</v>
      </c>
      <c r="C452" s="21" t="s">
        <v>1138</v>
      </c>
      <c r="D452" s="22" t="s">
        <v>1139</v>
      </c>
      <c r="E452" s="22" t="s">
        <v>24</v>
      </c>
      <c r="F452" s="22" t="s">
        <v>1076</v>
      </c>
      <c r="G452" s="23">
        <v>34611</v>
      </c>
      <c r="H452" s="22" t="s">
        <v>438</v>
      </c>
      <c r="I452" s="22" t="s">
        <v>40</v>
      </c>
      <c r="J452" s="22" t="s">
        <v>32</v>
      </c>
      <c r="K452" s="10" t="str">
        <f ca="1">DATEDIF('DATA PENDUDUK'!$G452,TODAY(),"Y")&amp; " TAHUN"</f>
        <v>30 TAHUN</v>
      </c>
      <c r="L452" s="24" t="s">
        <v>956</v>
      </c>
    </row>
    <row r="453" spans="1:12" ht="20.100000000000001" customHeight="1" x14ac:dyDescent="0.25">
      <c r="A453" s="8">
        <f t="shared" si="6"/>
        <v>450</v>
      </c>
      <c r="B453" s="21" t="s">
        <v>1129</v>
      </c>
      <c r="C453" s="21" t="s">
        <v>1140</v>
      </c>
      <c r="D453" s="22" t="s">
        <v>1141</v>
      </c>
      <c r="E453" s="22" t="s">
        <v>24</v>
      </c>
      <c r="F453" s="22" t="s">
        <v>1076</v>
      </c>
      <c r="G453" s="23">
        <v>36475</v>
      </c>
      <c r="H453" s="22" t="s">
        <v>438</v>
      </c>
      <c r="I453" s="22" t="s">
        <v>40</v>
      </c>
      <c r="J453" s="22" t="s">
        <v>32</v>
      </c>
      <c r="K453" s="10" t="str">
        <f ca="1">DATEDIF('DATA PENDUDUK'!$G453,TODAY(),"Y")&amp; " TAHUN"</f>
        <v>25 TAHUN</v>
      </c>
      <c r="L453" s="24" t="s">
        <v>956</v>
      </c>
    </row>
    <row r="454" spans="1:12" ht="20.100000000000001" customHeight="1" x14ac:dyDescent="0.25">
      <c r="A454" s="8">
        <f t="shared" ref="A454:A517" si="7">IF(D454="","",ROW()-3)</f>
        <v>451</v>
      </c>
      <c r="B454" s="21" t="s">
        <v>1129</v>
      </c>
      <c r="C454" s="21" t="s">
        <v>1142</v>
      </c>
      <c r="D454" s="22" t="s">
        <v>1143</v>
      </c>
      <c r="E454" s="22" t="s">
        <v>671</v>
      </c>
      <c r="F454" s="22" t="s">
        <v>989</v>
      </c>
      <c r="G454" s="23">
        <v>30957</v>
      </c>
      <c r="H454" s="22" t="s">
        <v>438</v>
      </c>
      <c r="I454" s="22" t="s">
        <v>36</v>
      </c>
      <c r="J454" s="22" t="s">
        <v>37</v>
      </c>
      <c r="K454" s="10" t="str">
        <f ca="1">DATEDIF('DATA PENDUDUK'!$G454,TODAY(),"Y")&amp; " TAHUN"</f>
        <v>40 TAHUN</v>
      </c>
      <c r="L454" s="24" t="s">
        <v>956</v>
      </c>
    </row>
    <row r="455" spans="1:12" ht="20.100000000000001" customHeight="1" x14ac:dyDescent="0.25">
      <c r="A455" s="8">
        <f t="shared" si="7"/>
        <v>452</v>
      </c>
      <c r="B455" s="21" t="s">
        <v>1129</v>
      </c>
      <c r="C455" s="21" t="s">
        <v>1144</v>
      </c>
      <c r="D455" s="22" t="s">
        <v>1145</v>
      </c>
      <c r="E455" s="22" t="s">
        <v>671</v>
      </c>
      <c r="F455" s="22" t="s">
        <v>955</v>
      </c>
      <c r="G455" s="23">
        <v>35829</v>
      </c>
      <c r="H455" s="22" t="s">
        <v>438</v>
      </c>
      <c r="I455" s="22" t="s">
        <v>40</v>
      </c>
      <c r="J455" s="22" t="s">
        <v>37</v>
      </c>
      <c r="K455" s="10" t="str">
        <f ca="1">DATEDIF('DATA PENDUDUK'!$G455,TODAY(),"Y")&amp; " TAHUN"</f>
        <v>27 TAHUN</v>
      </c>
      <c r="L455" s="24" t="s">
        <v>956</v>
      </c>
    </row>
    <row r="456" spans="1:12" ht="20.100000000000001" customHeight="1" x14ac:dyDescent="0.25">
      <c r="A456" s="8">
        <f t="shared" si="7"/>
        <v>453</v>
      </c>
      <c r="B456" s="21" t="s">
        <v>1146</v>
      </c>
      <c r="C456" s="21" t="s">
        <v>1147</v>
      </c>
      <c r="D456" s="22" t="s">
        <v>1109</v>
      </c>
      <c r="E456" s="22" t="s">
        <v>671</v>
      </c>
      <c r="F456" s="22" t="s">
        <v>863</v>
      </c>
      <c r="G456" s="23">
        <v>34186</v>
      </c>
      <c r="H456" s="22" t="s">
        <v>438</v>
      </c>
      <c r="I456" s="22" t="s">
        <v>36</v>
      </c>
      <c r="J456" s="22" t="s">
        <v>20</v>
      </c>
      <c r="K456" s="10" t="str">
        <f ca="1">DATEDIF('DATA PENDUDUK'!$G456,TODAY(),"Y")&amp; " TAHUN"</f>
        <v>31 TAHUN</v>
      </c>
      <c r="L456" s="24" t="s">
        <v>956</v>
      </c>
    </row>
    <row r="457" spans="1:12" ht="20.100000000000001" customHeight="1" x14ac:dyDescent="0.25">
      <c r="A457" s="8">
        <f t="shared" si="7"/>
        <v>454</v>
      </c>
      <c r="B457" s="21" t="s">
        <v>1146</v>
      </c>
      <c r="C457" s="21" t="s">
        <v>1148</v>
      </c>
      <c r="D457" s="22" t="s">
        <v>1149</v>
      </c>
      <c r="E457" s="22" t="s">
        <v>24</v>
      </c>
      <c r="F457" s="22" t="s">
        <v>1150</v>
      </c>
      <c r="G457" s="23">
        <v>34498</v>
      </c>
      <c r="H457" s="22" t="s">
        <v>438</v>
      </c>
      <c r="I457" s="22" t="s">
        <v>26</v>
      </c>
      <c r="J457" s="22" t="s">
        <v>27</v>
      </c>
      <c r="K457" s="10" t="str">
        <f ca="1">DATEDIF('DATA PENDUDUK'!$G457,TODAY(),"Y")&amp; " TAHUN"</f>
        <v>31 TAHUN</v>
      </c>
      <c r="L457" s="24" t="s">
        <v>956</v>
      </c>
    </row>
    <row r="458" spans="1:12" ht="20.100000000000001" customHeight="1" x14ac:dyDescent="0.25">
      <c r="A458" s="8">
        <f t="shared" si="7"/>
        <v>455</v>
      </c>
      <c r="B458" s="21" t="s">
        <v>1146</v>
      </c>
      <c r="C458" s="21" t="s">
        <v>1151</v>
      </c>
      <c r="D458" s="22" t="s">
        <v>1112</v>
      </c>
      <c r="E458" s="22" t="s">
        <v>671</v>
      </c>
      <c r="F458" s="22" t="s">
        <v>1113</v>
      </c>
      <c r="G458" s="23">
        <v>35223</v>
      </c>
      <c r="H458" s="22" t="s">
        <v>438</v>
      </c>
      <c r="I458" s="22" t="s">
        <v>40</v>
      </c>
      <c r="J458" s="22" t="s">
        <v>32</v>
      </c>
      <c r="K458" s="10" t="str">
        <f ca="1">DATEDIF('DATA PENDUDUK'!$G458,TODAY(),"Y")&amp; " TAHUN"</f>
        <v>29 TAHUN</v>
      </c>
      <c r="L458" s="24" t="s">
        <v>956</v>
      </c>
    </row>
    <row r="459" spans="1:12" ht="20.100000000000001" customHeight="1" x14ac:dyDescent="0.25">
      <c r="A459" s="8">
        <f t="shared" si="7"/>
        <v>456</v>
      </c>
      <c r="B459" s="21" t="s">
        <v>1146</v>
      </c>
      <c r="C459" s="21" t="s">
        <v>1152</v>
      </c>
      <c r="D459" s="22" t="s">
        <v>1153</v>
      </c>
      <c r="E459" s="22" t="s">
        <v>671</v>
      </c>
      <c r="F459" s="22" t="s">
        <v>1150</v>
      </c>
      <c r="G459" s="23">
        <v>41376</v>
      </c>
      <c r="H459" s="22" t="s">
        <v>438</v>
      </c>
      <c r="I459" s="22" t="s">
        <v>31</v>
      </c>
      <c r="J459" s="22" t="s">
        <v>32</v>
      </c>
      <c r="K459" s="10" t="str">
        <f ca="1">DATEDIF('DATA PENDUDUK'!$G459,TODAY(),"Y")&amp; " TAHUN"</f>
        <v>12 TAHUN</v>
      </c>
      <c r="L459" s="24" t="s">
        <v>956</v>
      </c>
    </row>
    <row r="460" spans="1:12" ht="20.100000000000001" customHeight="1" x14ac:dyDescent="0.25">
      <c r="A460" s="8">
        <f t="shared" si="7"/>
        <v>457</v>
      </c>
      <c r="B460" s="21" t="s">
        <v>1154</v>
      </c>
      <c r="C460" s="21" t="s">
        <v>1155</v>
      </c>
      <c r="D460" s="22" t="s">
        <v>1156</v>
      </c>
      <c r="E460" s="22" t="s">
        <v>24</v>
      </c>
      <c r="F460" s="22" t="s">
        <v>989</v>
      </c>
      <c r="G460" s="23">
        <v>29255</v>
      </c>
      <c r="H460" s="22" t="s">
        <v>438</v>
      </c>
      <c r="I460" s="22" t="s">
        <v>599</v>
      </c>
      <c r="J460" s="22" t="s">
        <v>20</v>
      </c>
      <c r="K460" s="10" t="str">
        <f ca="1">DATEDIF('DATA PENDUDUK'!$G460,TODAY(),"Y")&amp; " TAHUN"</f>
        <v>45 TAHUN</v>
      </c>
      <c r="L460" s="24" t="s">
        <v>956</v>
      </c>
    </row>
    <row r="461" spans="1:12" ht="20.100000000000001" customHeight="1" x14ac:dyDescent="0.25">
      <c r="A461" s="8">
        <f t="shared" si="7"/>
        <v>458</v>
      </c>
      <c r="B461" s="21" t="s">
        <v>1154</v>
      </c>
      <c r="C461" s="21" t="s">
        <v>1157</v>
      </c>
      <c r="D461" s="22" t="s">
        <v>1158</v>
      </c>
      <c r="E461" s="22" t="s">
        <v>671</v>
      </c>
      <c r="F461" s="22" t="s">
        <v>1122</v>
      </c>
      <c r="G461" s="23">
        <v>35978</v>
      </c>
      <c r="H461" s="22" t="s">
        <v>438</v>
      </c>
      <c r="I461" s="22" t="s">
        <v>40</v>
      </c>
      <c r="J461" s="22" t="s">
        <v>32</v>
      </c>
      <c r="K461" s="10" t="str">
        <f ca="1">DATEDIF('DATA PENDUDUK'!$G461,TODAY(),"Y")&amp; " TAHUN"</f>
        <v>27 TAHUN</v>
      </c>
      <c r="L461" s="24" t="s">
        <v>956</v>
      </c>
    </row>
    <row r="462" spans="1:12" ht="20.100000000000001" customHeight="1" x14ac:dyDescent="0.25">
      <c r="A462" s="8">
        <f t="shared" si="7"/>
        <v>459</v>
      </c>
      <c r="B462" s="21" t="s">
        <v>1154</v>
      </c>
      <c r="C462" s="21" t="s">
        <v>1159</v>
      </c>
      <c r="D462" s="22" t="s">
        <v>1160</v>
      </c>
      <c r="E462" s="22" t="s">
        <v>671</v>
      </c>
      <c r="F462" s="22" t="s">
        <v>1122</v>
      </c>
      <c r="G462" s="23">
        <v>37851</v>
      </c>
      <c r="H462" s="22" t="s">
        <v>438</v>
      </c>
      <c r="I462" s="22" t="s">
        <v>40</v>
      </c>
      <c r="J462" s="22" t="s">
        <v>32</v>
      </c>
      <c r="K462" s="10" t="str">
        <f ca="1">DATEDIF('DATA PENDUDUK'!$G462,TODAY(),"Y")&amp; " TAHUN"</f>
        <v>21 TAHUN</v>
      </c>
      <c r="L462" s="24" t="s">
        <v>956</v>
      </c>
    </row>
    <row r="463" spans="1:12" ht="20.100000000000001" customHeight="1" x14ac:dyDescent="0.25">
      <c r="A463" s="8">
        <f t="shared" si="7"/>
        <v>460</v>
      </c>
      <c r="B463" s="21" t="s">
        <v>1154</v>
      </c>
      <c r="C463" s="21" t="s">
        <v>1161</v>
      </c>
      <c r="D463" s="22" t="s">
        <v>1162</v>
      </c>
      <c r="E463" s="22" t="s">
        <v>671</v>
      </c>
      <c r="F463" s="22" t="s">
        <v>989</v>
      </c>
      <c r="G463" s="23">
        <v>38570</v>
      </c>
      <c r="H463" s="22" t="s">
        <v>438</v>
      </c>
      <c r="I463" s="22" t="s">
        <v>40</v>
      </c>
      <c r="J463" s="22" t="s">
        <v>32</v>
      </c>
      <c r="K463" s="10" t="str">
        <f ca="1">DATEDIF('DATA PENDUDUK'!$G463,TODAY(),"Y")&amp; " TAHUN"</f>
        <v>19 TAHUN</v>
      </c>
      <c r="L463" s="24" t="s">
        <v>956</v>
      </c>
    </row>
    <row r="464" spans="1:12" ht="20.100000000000001" customHeight="1" x14ac:dyDescent="0.25">
      <c r="A464" s="8">
        <f t="shared" si="7"/>
        <v>461</v>
      </c>
      <c r="B464" s="21" t="s">
        <v>1154</v>
      </c>
      <c r="C464" s="21" t="s">
        <v>1163</v>
      </c>
      <c r="D464" s="22" t="s">
        <v>1164</v>
      </c>
      <c r="E464" s="22" t="s">
        <v>671</v>
      </c>
      <c r="F464" s="22" t="s">
        <v>989</v>
      </c>
      <c r="G464" s="23">
        <v>39299</v>
      </c>
      <c r="H464" s="22" t="s">
        <v>438</v>
      </c>
      <c r="I464" s="22" t="s">
        <v>31</v>
      </c>
      <c r="J464" s="22" t="s">
        <v>32</v>
      </c>
      <c r="K464" s="10" t="str">
        <f ca="1">DATEDIF('DATA PENDUDUK'!$G464,TODAY(),"Y")&amp; " TAHUN"</f>
        <v>17 TAHUN</v>
      </c>
      <c r="L464" s="24" t="s">
        <v>956</v>
      </c>
    </row>
    <row r="465" spans="1:12" ht="20.100000000000001" customHeight="1" x14ac:dyDescent="0.25">
      <c r="A465" s="8">
        <f t="shared" si="7"/>
        <v>462</v>
      </c>
      <c r="B465" s="21" t="s">
        <v>1154</v>
      </c>
      <c r="C465" s="21" t="s">
        <v>1165</v>
      </c>
      <c r="D465" s="22" t="s">
        <v>1166</v>
      </c>
      <c r="E465" s="22" t="s">
        <v>671</v>
      </c>
      <c r="F465" s="22" t="s">
        <v>1167</v>
      </c>
      <c r="G465" s="23">
        <v>39967</v>
      </c>
      <c r="H465" s="22" t="s">
        <v>438</v>
      </c>
      <c r="I465" s="22" t="s">
        <v>31</v>
      </c>
      <c r="J465" s="22" t="s">
        <v>32</v>
      </c>
      <c r="K465" s="10" t="str">
        <f ca="1">DATEDIF('DATA PENDUDUK'!$G465,TODAY(),"Y")&amp; " TAHUN"</f>
        <v>16 TAHUN</v>
      </c>
      <c r="L465" s="24" t="s">
        <v>956</v>
      </c>
    </row>
    <row r="466" spans="1:12" ht="20.100000000000001" customHeight="1" x14ac:dyDescent="0.25">
      <c r="A466" s="8">
        <f t="shared" si="7"/>
        <v>463</v>
      </c>
      <c r="B466" s="21" t="s">
        <v>1154</v>
      </c>
      <c r="C466" s="21" t="s">
        <v>1168</v>
      </c>
      <c r="D466" s="22" t="s">
        <v>1169</v>
      </c>
      <c r="E466" s="22" t="s">
        <v>24</v>
      </c>
      <c r="F466" s="22" t="s">
        <v>989</v>
      </c>
      <c r="G466" s="23">
        <v>40947</v>
      </c>
      <c r="H466" s="22" t="s">
        <v>438</v>
      </c>
      <c r="I466" s="22" t="s">
        <v>31</v>
      </c>
      <c r="J466" s="22" t="s">
        <v>32</v>
      </c>
      <c r="K466" s="10" t="str">
        <f ca="1">DATEDIF('DATA PENDUDUK'!$G466,TODAY(),"Y")&amp; " TAHUN"</f>
        <v>13 TAHUN</v>
      </c>
      <c r="L466" s="24" t="s">
        <v>956</v>
      </c>
    </row>
    <row r="467" spans="1:12" ht="20.100000000000001" customHeight="1" x14ac:dyDescent="0.25">
      <c r="A467" s="8">
        <f t="shared" si="7"/>
        <v>464</v>
      </c>
      <c r="B467" s="21" t="s">
        <v>1154</v>
      </c>
      <c r="C467" s="21" t="s">
        <v>1170</v>
      </c>
      <c r="D467" s="22" t="s">
        <v>1171</v>
      </c>
      <c r="E467" s="22" t="s">
        <v>24</v>
      </c>
      <c r="F467" s="22" t="s">
        <v>989</v>
      </c>
      <c r="G467" s="23">
        <v>41099</v>
      </c>
      <c r="H467" s="22" t="s">
        <v>438</v>
      </c>
      <c r="I467" s="22" t="s">
        <v>31</v>
      </c>
      <c r="J467" s="22" t="s">
        <v>32</v>
      </c>
      <c r="K467" s="10" t="str">
        <f ca="1">DATEDIF('DATA PENDUDUK'!$G467,TODAY(),"Y")&amp; " TAHUN"</f>
        <v>13 TAHUN</v>
      </c>
      <c r="L467" s="24" t="s">
        <v>956</v>
      </c>
    </row>
    <row r="468" spans="1:12" ht="20.100000000000001" customHeight="1" x14ac:dyDescent="0.25">
      <c r="A468" s="8">
        <f t="shared" si="7"/>
        <v>465</v>
      </c>
      <c r="B468" s="21" t="s">
        <v>1154</v>
      </c>
      <c r="C468" s="21" t="s">
        <v>1172</v>
      </c>
      <c r="D468" s="22" t="s">
        <v>1173</v>
      </c>
      <c r="E468" s="22" t="s">
        <v>24</v>
      </c>
      <c r="F468" s="22" t="s">
        <v>989</v>
      </c>
      <c r="G468" s="23">
        <v>42041</v>
      </c>
      <c r="H468" s="22" t="s">
        <v>438</v>
      </c>
      <c r="I468" s="22" t="s">
        <v>31</v>
      </c>
      <c r="J468" s="22" t="s">
        <v>32</v>
      </c>
      <c r="K468" s="10" t="str">
        <f ca="1">DATEDIF('DATA PENDUDUK'!$G468,TODAY(),"Y")&amp; " TAHUN"</f>
        <v>10 TAHUN</v>
      </c>
      <c r="L468" s="24" t="s">
        <v>956</v>
      </c>
    </row>
    <row r="469" spans="1:12" ht="20.100000000000001" customHeight="1" x14ac:dyDescent="0.25">
      <c r="A469" s="8">
        <f t="shared" si="7"/>
        <v>466</v>
      </c>
      <c r="B469" s="21" t="s">
        <v>1174</v>
      </c>
      <c r="C469" s="21" t="s">
        <v>1175</v>
      </c>
      <c r="D469" s="22" t="s">
        <v>1176</v>
      </c>
      <c r="E469" s="22" t="s">
        <v>24</v>
      </c>
      <c r="F469" s="22" t="s">
        <v>681</v>
      </c>
      <c r="G469" s="23">
        <v>32992</v>
      </c>
      <c r="H469" s="22" t="s">
        <v>438</v>
      </c>
      <c r="I469" s="22" t="s">
        <v>26</v>
      </c>
      <c r="J469" s="22" t="s">
        <v>20</v>
      </c>
      <c r="K469" s="10" t="str">
        <f ca="1">DATEDIF('DATA PENDUDUK'!$G469,TODAY(),"Y")&amp; " TAHUN"</f>
        <v>35 TAHUN</v>
      </c>
      <c r="L469" s="24" t="s">
        <v>956</v>
      </c>
    </row>
    <row r="470" spans="1:12" ht="20.100000000000001" customHeight="1" x14ac:dyDescent="0.25">
      <c r="A470" s="8">
        <f t="shared" si="7"/>
        <v>467</v>
      </c>
      <c r="B470" s="21" t="s">
        <v>1174</v>
      </c>
      <c r="C470" s="21" t="s">
        <v>1177</v>
      </c>
      <c r="D470" s="22" t="s">
        <v>1178</v>
      </c>
      <c r="E470" s="22" t="s">
        <v>671</v>
      </c>
      <c r="F470" s="22" t="s">
        <v>30</v>
      </c>
      <c r="G470" s="23">
        <v>40474</v>
      </c>
      <c r="H470" s="22" t="s">
        <v>438</v>
      </c>
      <c r="I470" s="22" t="s">
        <v>31</v>
      </c>
      <c r="J470" s="22" t="s">
        <v>32</v>
      </c>
      <c r="K470" s="10" t="str">
        <f ca="1">DATEDIF('DATA PENDUDUK'!$G470,TODAY(),"Y")&amp; " TAHUN"</f>
        <v>14 TAHUN</v>
      </c>
      <c r="L470" s="24" t="s">
        <v>956</v>
      </c>
    </row>
    <row r="471" spans="1:12" ht="20.100000000000001" customHeight="1" x14ac:dyDescent="0.25">
      <c r="A471" s="8">
        <f t="shared" si="7"/>
        <v>468</v>
      </c>
      <c r="B471" s="21" t="s">
        <v>1174</v>
      </c>
      <c r="C471" s="21" t="s">
        <v>1179</v>
      </c>
      <c r="D471" s="22" t="s">
        <v>1180</v>
      </c>
      <c r="E471" s="22" t="s">
        <v>671</v>
      </c>
      <c r="F471" s="22" t="s">
        <v>30</v>
      </c>
      <c r="G471" s="23">
        <v>40474</v>
      </c>
      <c r="H471" s="22" t="s">
        <v>438</v>
      </c>
      <c r="I471" s="22" t="s">
        <v>31</v>
      </c>
      <c r="J471" s="22" t="s">
        <v>32</v>
      </c>
      <c r="K471" s="10" t="str">
        <f ca="1">DATEDIF('DATA PENDUDUK'!$G471,TODAY(),"Y")&amp; " TAHUN"</f>
        <v>14 TAHUN</v>
      </c>
      <c r="L471" s="24" t="s">
        <v>956</v>
      </c>
    </row>
    <row r="472" spans="1:12" ht="20.100000000000001" customHeight="1" x14ac:dyDescent="0.25">
      <c r="A472" s="8">
        <f t="shared" si="7"/>
        <v>469</v>
      </c>
      <c r="B472" s="21" t="s">
        <v>1174</v>
      </c>
      <c r="C472" s="21" t="s">
        <v>1181</v>
      </c>
      <c r="D472" s="22" t="s">
        <v>1182</v>
      </c>
      <c r="E472" s="22" t="s">
        <v>671</v>
      </c>
      <c r="F472" s="22" t="s">
        <v>30</v>
      </c>
      <c r="G472" s="23">
        <v>41558</v>
      </c>
      <c r="H472" s="22" t="s">
        <v>438</v>
      </c>
      <c r="I472" s="22" t="s">
        <v>31</v>
      </c>
      <c r="J472" s="22" t="s">
        <v>32</v>
      </c>
      <c r="K472" s="10" t="str">
        <f ca="1">DATEDIF('DATA PENDUDUK'!$G472,TODAY(),"Y")&amp; " TAHUN"</f>
        <v>11 TAHUN</v>
      </c>
      <c r="L472" s="24" t="s">
        <v>956</v>
      </c>
    </row>
    <row r="473" spans="1:12" ht="20.100000000000001" customHeight="1" x14ac:dyDescent="0.25">
      <c r="A473" s="8">
        <f t="shared" si="7"/>
        <v>470</v>
      </c>
      <c r="B473" s="21" t="s">
        <v>1174</v>
      </c>
      <c r="C473" s="21" t="s">
        <v>1183</v>
      </c>
      <c r="D473" s="22" t="s">
        <v>1184</v>
      </c>
      <c r="E473" s="22" t="s">
        <v>24</v>
      </c>
      <c r="F473" s="22" t="s">
        <v>30</v>
      </c>
      <c r="G473" s="23">
        <v>43412</v>
      </c>
      <c r="H473" s="22" t="s">
        <v>438</v>
      </c>
      <c r="I473" s="22" t="s">
        <v>40</v>
      </c>
      <c r="J473" s="22" t="s">
        <v>32</v>
      </c>
      <c r="K473" s="10" t="str">
        <f ca="1">DATEDIF('DATA PENDUDUK'!$G473,TODAY(),"Y")&amp; " TAHUN"</f>
        <v>6 TAHUN</v>
      </c>
      <c r="L473" s="24" t="s">
        <v>956</v>
      </c>
    </row>
    <row r="474" spans="1:12" ht="20.100000000000001" customHeight="1" x14ac:dyDescent="0.25">
      <c r="A474" s="8">
        <f t="shared" si="7"/>
        <v>471</v>
      </c>
      <c r="B474" s="21" t="s">
        <v>1185</v>
      </c>
      <c r="C474" s="21" t="s">
        <v>1186</v>
      </c>
      <c r="D474" s="22" t="s">
        <v>1187</v>
      </c>
      <c r="E474" s="22" t="s">
        <v>671</v>
      </c>
      <c r="F474" s="22" t="s">
        <v>780</v>
      </c>
      <c r="G474" s="23">
        <v>33390</v>
      </c>
      <c r="H474" s="22" t="s">
        <v>438</v>
      </c>
      <c r="I474" s="22" t="s">
        <v>36</v>
      </c>
      <c r="J474" s="22" t="s">
        <v>20</v>
      </c>
      <c r="K474" s="10" t="str">
        <f ca="1">DATEDIF('DATA PENDUDUK'!$G474,TODAY(),"Y")&amp; " TAHUN"</f>
        <v>34 TAHUN</v>
      </c>
      <c r="L474" s="24" t="s">
        <v>956</v>
      </c>
    </row>
    <row r="475" spans="1:12" ht="20.100000000000001" customHeight="1" x14ac:dyDescent="0.25">
      <c r="A475" s="8">
        <f t="shared" si="7"/>
        <v>472</v>
      </c>
      <c r="B475" s="21" t="s">
        <v>1185</v>
      </c>
      <c r="C475" s="21" t="s">
        <v>1188</v>
      </c>
      <c r="D475" s="22" t="s">
        <v>1189</v>
      </c>
      <c r="E475" s="22" t="s">
        <v>24</v>
      </c>
      <c r="F475" s="22" t="s">
        <v>1190</v>
      </c>
      <c r="G475" s="23">
        <v>34700</v>
      </c>
      <c r="H475" s="22" t="s">
        <v>438</v>
      </c>
      <c r="I475" s="22" t="s">
        <v>26</v>
      </c>
      <c r="J475" s="22" t="s">
        <v>27</v>
      </c>
      <c r="K475" s="10" t="str">
        <f ca="1">DATEDIF('DATA PENDUDUK'!$G475,TODAY(),"Y")&amp; " TAHUN"</f>
        <v>30 TAHUN</v>
      </c>
      <c r="L475" s="24" t="s">
        <v>956</v>
      </c>
    </row>
    <row r="476" spans="1:12" ht="20.100000000000001" customHeight="1" x14ac:dyDescent="0.25">
      <c r="A476" s="8">
        <f t="shared" si="7"/>
        <v>473</v>
      </c>
      <c r="B476" s="21" t="s">
        <v>1185</v>
      </c>
      <c r="C476" s="21" t="s">
        <v>1191</v>
      </c>
      <c r="D476" s="22" t="s">
        <v>1192</v>
      </c>
      <c r="E476" s="22" t="s">
        <v>671</v>
      </c>
      <c r="F476" s="22" t="s">
        <v>30</v>
      </c>
      <c r="G476" s="23">
        <v>43093</v>
      </c>
      <c r="H476" s="22" t="s">
        <v>438</v>
      </c>
      <c r="I476" s="22" t="s">
        <v>40</v>
      </c>
      <c r="J476" s="22" t="s">
        <v>32</v>
      </c>
      <c r="K476" s="10" t="str">
        <f ca="1">DATEDIF('DATA PENDUDUK'!$G476,TODAY(),"Y")&amp; " TAHUN"</f>
        <v>7 TAHUN</v>
      </c>
      <c r="L476" s="24" t="s">
        <v>956</v>
      </c>
    </row>
    <row r="477" spans="1:12" ht="20.100000000000001" customHeight="1" x14ac:dyDescent="0.25">
      <c r="A477" s="8">
        <f t="shared" si="7"/>
        <v>474</v>
      </c>
      <c r="B477" s="21" t="s">
        <v>1193</v>
      </c>
      <c r="C477" s="21" t="s">
        <v>1194</v>
      </c>
      <c r="D477" s="22" t="s">
        <v>1195</v>
      </c>
      <c r="E477" s="22" t="s">
        <v>24</v>
      </c>
      <c r="F477" s="22" t="s">
        <v>863</v>
      </c>
      <c r="G477" s="23">
        <v>29406</v>
      </c>
      <c r="H477" s="22" t="s">
        <v>438</v>
      </c>
      <c r="I477" s="22" t="s">
        <v>26</v>
      </c>
      <c r="J477" s="22" t="s">
        <v>20</v>
      </c>
      <c r="K477" s="10" t="str">
        <f ca="1">DATEDIF('DATA PENDUDUK'!$G477,TODAY(),"Y")&amp; " TAHUN"</f>
        <v>45 TAHUN</v>
      </c>
      <c r="L477" s="24" t="s">
        <v>956</v>
      </c>
    </row>
    <row r="478" spans="1:12" ht="20.100000000000001" customHeight="1" x14ac:dyDescent="0.25">
      <c r="A478" s="8">
        <f t="shared" si="7"/>
        <v>475</v>
      </c>
      <c r="B478" s="21" t="s">
        <v>1193</v>
      </c>
      <c r="C478" s="21" t="s">
        <v>1196</v>
      </c>
      <c r="D478" s="22" t="s">
        <v>1197</v>
      </c>
      <c r="E478" s="22" t="s">
        <v>24</v>
      </c>
      <c r="F478" s="22" t="s">
        <v>863</v>
      </c>
      <c r="G478" s="23">
        <v>35500</v>
      </c>
      <c r="H478" s="22" t="s">
        <v>438</v>
      </c>
      <c r="I478" s="22" t="s">
        <v>40</v>
      </c>
      <c r="J478" s="22" t="s">
        <v>32</v>
      </c>
      <c r="K478" s="10" t="str">
        <f ca="1">DATEDIF('DATA PENDUDUK'!$G478,TODAY(),"Y")&amp; " TAHUN"</f>
        <v>28 TAHUN</v>
      </c>
      <c r="L478" s="24" t="s">
        <v>956</v>
      </c>
    </row>
    <row r="479" spans="1:12" ht="20.100000000000001" customHeight="1" x14ac:dyDescent="0.25">
      <c r="A479" s="8">
        <f t="shared" si="7"/>
        <v>476</v>
      </c>
      <c r="B479" s="21" t="s">
        <v>1193</v>
      </c>
      <c r="C479" s="21" t="s">
        <v>1198</v>
      </c>
      <c r="D479" s="22" t="s">
        <v>1199</v>
      </c>
      <c r="E479" s="22" t="s">
        <v>671</v>
      </c>
      <c r="F479" s="22" t="s">
        <v>863</v>
      </c>
      <c r="G479" s="23">
        <v>36533</v>
      </c>
      <c r="H479" s="22" t="s">
        <v>438</v>
      </c>
      <c r="I479" s="22" t="s">
        <v>40</v>
      </c>
      <c r="J479" s="22" t="s">
        <v>32</v>
      </c>
      <c r="K479" s="10" t="str">
        <f ca="1">DATEDIF('DATA PENDUDUK'!$G479,TODAY(),"Y")&amp; " TAHUN"</f>
        <v>25 TAHUN</v>
      </c>
      <c r="L479" s="24" t="s">
        <v>956</v>
      </c>
    </row>
    <row r="480" spans="1:12" ht="20.100000000000001" customHeight="1" x14ac:dyDescent="0.25">
      <c r="A480" s="8">
        <f t="shared" si="7"/>
        <v>477</v>
      </c>
      <c r="B480" s="21" t="s">
        <v>1193</v>
      </c>
      <c r="C480" s="21" t="s">
        <v>1200</v>
      </c>
      <c r="D480" s="22" t="s">
        <v>1201</v>
      </c>
      <c r="E480" s="22" t="s">
        <v>24</v>
      </c>
      <c r="F480" s="22" t="s">
        <v>376</v>
      </c>
      <c r="G480" s="23">
        <v>37259</v>
      </c>
      <c r="H480" s="22" t="s">
        <v>438</v>
      </c>
      <c r="I480" s="22" t="s">
        <v>40</v>
      </c>
      <c r="J480" s="22" t="s">
        <v>32</v>
      </c>
      <c r="K480" s="10" t="str">
        <f ca="1">DATEDIF('DATA PENDUDUK'!$G480,TODAY(),"Y")&amp; " TAHUN"</f>
        <v>23 TAHUN</v>
      </c>
      <c r="L480" s="24" t="s">
        <v>956</v>
      </c>
    </row>
    <row r="481" spans="1:12" ht="20.100000000000001" customHeight="1" x14ac:dyDescent="0.25">
      <c r="A481" s="8">
        <f t="shared" si="7"/>
        <v>478</v>
      </c>
      <c r="B481" s="21" t="s">
        <v>1193</v>
      </c>
      <c r="C481" s="21" t="s">
        <v>1202</v>
      </c>
      <c r="D481" s="22" t="s">
        <v>1203</v>
      </c>
      <c r="E481" s="22" t="s">
        <v>671</v>
      </c>
      <c r="F481" s="22" t="s">
        <v>30</v>
      </c>
      <c r="G481" s="23">
        <v>39455</v>
      </c>
      <c r="H481" s="22" t="s">
        <v>438</v>
      </c>
      <c r="I481" s="22" t="s">
        <v>31</v>
      </c>
      <c r="J481" s="22" t="s">
        <v>32</v>
      </c>
      <c r="K481" s="10" t="str">
        <f ca="1">DATEDIF('DATA PENDUDUK'!$G481,TODAY(),"Y")&amp; " TAHUN"</f>
        <v>17 TAHUN</v>
      </c>
      <c r="L481" s="24" t="s">
        <v>956</v>
      </c>
    </row>
    <row r="482" spans="1:12" ht="20.100000000000001" customHeight="1" x14ac:dyDescent="0.25">
      <c r="A482" s="8">
        <f t="shared" si="7"/>
        <v>479</v>
      </c>
      <c r="B482" s="21" t="s">
        <v>1193</v>
      </c>
      <c r="C482" s="21" t="s">
        <v>1204</v>
      </c>
      <c r="D482" s="22" t="s">
        <v>1205</v>
      </c>
      <c r="E482" s="22" t="s">
        <v>671</v>
      </c>
      <c r="F482" s="22" t="s">
        <v>1122</v>
      </c>
      <c r="G482" s="23">
        <v>35388</v>
      </c>
      <c r="H482" s="22" t="s">
        <v>438</v>
      </c>
      <c r="I482" s="22" t="s">
        <v>19</v>
      </c>
      <c r="J482" s="22" t="s">
        <v>37</v>
      </c>
      <c r="K482" s="10" t="str">
        <f ca="1">DATEDIF('DATA PENDUDUK'!$G482,TODAY(),"Y")&amp; " TAHUN"</f>
        <v>28 TAHUN</v>
      </c>
      <c r="L482" s="24" t="s">
        <v>956</v>
      </c>
    </row>
    <row r="483" spans="1:12" ht="20.100000000000001" customHeight="1" x14ac:dyDescent="0.25">
      <c r="A483" s="8">
        <f t="shared" si="7"/>
        <v>480</v>
      </c>
      <c r="B483" s="21" t="s">
        <v>1206</v>
      </c>
      <c r="C483" s="21" t="s">
        <v>1207</v>
      </c>
      <c r="D483" s="22" t="s">
        <v>1208</v>
      </c>
      <c r="E483" s="22" t="s">
        <v>671</v>
      </c>
      <c r="F483" s="22" t="s">
        <v>955</v>
      </c>
      <c r="G483" s="23">
        <v>25770</v>
      </c>
      <c r="H483" s="22" t="s">
        <v>438</v>
      </c>
      <c r="I483" s="22" t="s">
        <v>19</v>
      </c>
      <c r="J483" s="22" t="s">
        <v>20</v>
      </c>
      <c r="K483" s="10" t="str">
        <f ca="1">DATEDIF('DATA PENDUDUK'!$G483,TODAY(),"Y")&amp; " TAHUN"</f>
        <v>55 TAHUN</v>
      </c>
      <c r="L483" s="24" t="s">
        <v>956</v>
      </c>
    </row>
    <row r="484" spans="1:12" ht="20.100000000000001" customHeight="1" x14ac:dyDescent="0.25">
      <c r="A484" s="8">
        <f t="shared" si="7"/>
        <v>481</v>
      </c>
      <c r="B484" s="21" t="s">
        <v>1209</v>
      </c>
      <c r="C484" s="21" t="s">
        <v>1210</v>
      </c>
      <c r="D484" s="22" t="s">
        <v>1211</v>
      </c>
      <c r="E484" s="22" t="s">
        <v>671</v>
      </c>
      <c r="F484" s="22" t="s">
        <v>1212</v>
      </c>
      <c r="G484" s="23">
        <v>19948</v>
      </c>
      <c r="H484" s="22" t="s">
        <v>18</v>
      </c>
      <c r="I484" s="22" t="s">
        <v>40</v>
      </c>
      <c r="J484" s="22" t="s">
        <v>20</v>
      </c>
      <c r="K484" s="10" t="str">
        <f ca="1">DATEDIF('DATA PENDUDUK'!$G484,TODAY(),"Y")&amp; " TAHUN"</f>
        <v>70 TAHUN</v>
      </c>
      <c r="L484" s="24" t="s">
        <v>956</v>
      </c>
    </row>
    <row r="485" spans="1:12" ht="20.100000000000001" customHeight="1" x14ac:dyDescent="0.25">
      <c r="A485" s="8">
        <f t="shared" si="7"/>
        <v>482</v>
      </c>
      <c r="B485" s="21" t="s">
        <v>1209</v>
      </c>
      <c r="C485" s="21" t="s">
        <v>1213</v>
      </c>
      <c r="D485" s="22" t="s">
        <v>1214</v>
      </c>
      <c r="E485" s="22" t="s">
        <v>24</v>
      </c>
      <c r="F485" s="22" t="s">
        <v>780</v>
      </c>
      <c r="G485" s="23">
        <v>19523</v>
      </c>
      <c r="H485" s="22" t="s">
        <v>18</v>
      </c>
      <c r="I485" s="22" t="s">
        <v>26</v>
      </c>
      <c r="J485" s="22" t="s">
        <v>27</v>
      </c>
      <c r="K485" s="10" t="str">
        <f ca="1">DATEDIF('DATA PENDUDUK'!$G485,TODAY(),"Y")&amp; " TAHUN"</f>
        <v>72 TAHUN</v>
      </c>
      <c r="L485" s="24" t="s">
        <v>956</v>
      </c>
    </row>
    <row r="486" spans="1:12" ht="20.100000000000001" customHeight="1" x14ac:dyDescent="0.25">
      <c r="A486" s="8">
        <f t="shared" si="7"/>
        <v>483</v>
      </c>
      <c r="B486" s="21" t="s">
        <v>1209</v>
      </c>
      <c r="C486" s="21" t="s">
        <v>1215</v>
      </c>
      <c r="D486" s="22" t="s">
        <v>1216</v>
      </c>
      <c r="E486" s="22" t="s">
        <v>24</v>
      </c>
      <c r="F486" s="22" t="s">
        <v>780</v>
      </c>
      <c r="G486" s="23">
        <v>23228</v>
      </c>
      <c r="H486" s="22" t="s">
        <v>18</v>
      </c>
      <c r="I486" s="22" t="s">
        <v>36</v>
      </c>
      <c r="J486" s="22" t="s">
        <v>32</v>
      </c>
      <c r="K486" s="10" t="str">
        <f ca="1">DATEDIF('DATA PENDUDUK'!$G486,TODAY(),"Y")&amp; " TAHUN"</f>
        <v>61 TAHUN</v>
      </c>
      <c r="L486" s="24" t="s">
        <v>956</v>
      </c>
    </row>
    <row r="487" spans="1:12" ht="20.100000000000001" customHeight="1" x14ac:dyDescent="0.25">
      <c r="A487" s="8">
        <f t="shared" si="7"/>
        <v>484</v>
      </c>
      <c r="B487" s="21" t="s">
        <v>1209</v>
      </c>
      <c r="C487" s="21" t="s">
        <v>1217</v>
      </c>
      <c r="D487" s="22" t="s">
        <v>1218</v>
      </c>
      <c r="E487" s="22" t="s">
        <v>671</v>
      </c>
      <c r="F487" s="22" t="s">
        <v>768</v>
      </c>
      <c r="G487" s="23">
        <v>26349</v>
      </c>
      <c r="H487" s="22" t="s">
        <v>18</v>
      </c>
      <c r="I487" s="22" t="s">
        <v>1219</v>
      </c>
      <c r="J487" s="22" t="s">
        <v>32</v>
      </c>
      <c r="K487" s="10" t="str">
        <f ca="1">DATEDIF('DATA PENDUDUK'!$G487,TODAY(),"Y")&amp; " TAHUN"</f>
        <v>53 TAHUN</v>
      </c>
      <c r="L487" s="24" t="s">
        <v>956</v>
      </c>
    </row>
    <row r="488" spans="1:12" ht="20.100000000000001" customHeight="1" x14ac:dyDescent="0.25">
      <c r="A488" s="8">
        <f t="shared" si="7"/>
        <v>485</v>
      </c>
      <c r="B488" s="21" t="s">
        <v>1209</v>
      </c>
      <c r="C488" s="21" t="s">
        <v>1220</v>
      </c>
      <c r="D488" s="22" t="s">
        <v>1221</v>
      </c>
      <c r="E488" s="22" t="s">
        <v>671</v>
      </c>
      <c r="F488" s="22" t="s">
        <v>768</v>
      </c>
      <c r="G488" s="23">
        <v>32296</v>
      </c>
      <c r="H488" s="22" t="s">
        <v>18</v>
      </c>
      <c r="I488" s="22" t="s">
        <v>40</v>
      </c>
      <c r="J488" s="22" t="s">
        <v>32</v>
      </c>
      <c r="K488" s="10" t="str">
        <f ca="1">DATEDIF('DATA PENDUDUK'!$G488,TODAY(),"Y")&amp; " TAHUN"</f>
        <v>37 TAHUN</v>
      </c>
      <c r="L488" s="24" t="s">
        <v>956</v>
      </c>
    </row>
    <row r="489" spans="1:12" ht="20.100000000000001" customHeight="1" x14ac:dyDescent="0.25">
      <c r="A489" s="8">
        <f t="shared" si="7"/>
        <v>486</v>
      </c>
      <c r="B489" s="21" t="s">
        <v>1209</v>
      </c>
      <c r="C489" s="21" t="s">
        <v>1222</v>
      </c>
      <c r="D489" s="22" t="s">
        <v>1223</v>
      </c>
      <c r="E489" s="22" t="s">
        <v>671</v>
      </c>
      <c r="F489" s="22" t="s">
        <v>681</v>
      </c>
      <c r="G489" s="23">
        <v>34467</v>
      </c>
      <c r="H489" s="22" t="s">
        <v>18</v>
      </c>
      <c r="I489" s="22" t="s">
        <v>40</v>
      </c>
      <c r="J489" s="22" t="s">
        <v>32</v>
      </c>
      <c r="K489" s="10" t="str">
        <f ca="1">DATEDIF('DATA PENDUDUK'!$G489,TODAY(),"Y")&amp; " TAHUN"</f>
        <v>31 TAHUN</v>
      </c>
      <c r="L489" s="24" t="s">
        <v>956</v>
      </c>
    </row>
    <row r="490" spans="1:12" ht="20.100000000000001" customHeight="1" x14ac:dyDescent="0.25">
      <c r="A490" s="8">
        <f t="shared" si="7"/>
        <v>487</v>
      </c>
      <c r="B490" s="21" t="s">
        <v>1209</v>
      </c>
      <c r="C490" s="21" t="s">
        <v>1224</v>
      </c>
      <c r="D490" s="22" t="s">
        <v>1225</v>
      </c>
      <c r="E490" s="22" t="s">
        <v>24</v>
      </c>
      <c r="F490" s="22" t="s">
        <v>30</v>
      </c>
      <c r="G490" s="23">
        <v>39846</v>
      </c>
      <c r="H490" s="22" t="s">
        <v>18</v>
      </c>
      <c r="I490" s="22" t="s">
        <v>31</v>
      </c>
      <c r="J490" s="22" t="s">
        <v>32</v>
      </c>
      <c r="K490" s="10" t="str">
        <f ca="1">DATEDIF('DATA PENDUDUK'!$G490,TODAY(),"Y")&amp; " TAHUN"</f>
        <v>16 TAHUN</v>
      </c>
      <c r="L490" s="24" t="s">
        <v>956</v>
      </c>
    </row>
    <row r="491" spans="1:12" ht="20.100000000000001" customHeight="1" x14ac:dyDescent="0.25">
      <c r="A491" s="8">
        <f t="shared" si="7"/>
        <v>488</v>
      </c>
      <c r="B491" s="21" t="s">
        <v>1209</v>
      </c>
      <c r="C491" s="21" t="s">
        <v>1226</v>
      </c>
      <c r="D491" s="22" t="s">
        <v>1227</v>
      </c>
      <c r="E491" s="22" t="s">
        <v>24</v>
      </c>
      <c r="F491" s="22" t="s">
        <v>30</v>
      </c>
      <c r="G491" s="23">
        <v>39998</v>
      </c>
      <c r="H491" s="22" t="s">
        <v>18</v>
      </c>
      <c r="I491" s="22" t="s">
        <v>31</v>
      </c>
      <c r="J491" s="22" t="s">
        <v>32</v>
      </c>
      <c r="K491" s="10" t="str">
        <f ca="1">DATEDIF('DATA PENDUDUK'!$G491,TODAY(),"Y")&amp; " TAHUN"</f>
        <v>16 TAHUN</v>
      </c>
      <c r="L491" s="24" t="s">
        <v>956</v>
      </c>
    </row>
    <row r="492" spans="1:12" ht="20.100000000000001" customHeight="1" x14ac:dyDescent="0.25">
      <c r="A492" s="8">
        <f t="shared" si="7"/>
        <v>489</v>
      </c>
      <c r="B492" s="21" t="s">
        <v>1209</v>
      </c>
      <c r="C492" s="21" t="s">
        <v>1228</v>
      </c>
      <c r="D492" s="22" t="s">
        <v>1229</v>
      </c>
      <c r="E492" s="22" t="s">
        <v>24</v>
      </c>
      <c r="F492" s="22" t="s">
        <v>30</v>
      </c>
      <c r="G492" s="23">
        <v>40270</v>
      </c>
      <c r="H492" s="22" t="s">
        <v>18</v>
      </c>
      <c r="I492" s="22" t="s">
        <v>31</v>
      </c>
      <c r="J492" s="22" t="s">
        <v>32</v>
      </c>
      <c r="K492" s="10" t="str">
        <f ca="1">DATEDIF('DATA PENDUDUK'!$G492,TODAY(),"Y")&amp; " TAHUN"</f>
        <v>15 TAHUN</v>
      </c>
      <c r="L492" s="24" t="s">
        <v>956</v>
      </c>
    </row>
    <row r="493" spans="1:12" ht="20.100000000000001" customHeight="1" x14ac:dyDescent="0.25">
      <c r="A493" s="8">
        <f t="shared" si="7"/>
        <v>490</v>
      </c>
      <c r="B493" s="21" t="s">
        <v>971</v>
      </c>
      <c r="C493" s="21" t="s">
        <v>972</v>
      </c>
      <c r="D493" s="22" t="s">
        <v>973</v>
      </c>
      <c r="E493" s="22" t="s">
        <v>671</v>
      </c>
      <c r="F493" s="22" t="s">
        <v>955</v>
      </c>
      <c r="G493" s="23">
        <v>27602</v>
      </c>
      <c r="H493" s="22" t="s">
        <v>438</v>
      </c>
      <c r="I493" s="22" t="s">
        <v>73</v>
      </c>
      <c r="J493" s="22" t="s">
        <v>20</v>
      </c>
      <c r="K493" s="10" t="str">
        <f ca="1">DATEDIF('DATA PENDUDUK'!$G493,TODAY(),"Y")&amp; " TAHUN"</f>
        <v>49 TAHUN</v>
      </c>
      <c r="L493" s="24" t="s">
        <v>956</v>
      </c>
    </row>
    <row r="494" spans="1:12" ht="20.100000000000001" customHeight="1" x14ac:dyDescent="0.25">
      <c r="A494" s="8">
        <f t="shared" si="7"/>
        <v>491</v>
      </c>
      <c r="B494" s="21" t="s">
        <v>971</v>
      </c>
      <c r="C494" s="21" t="s">
        <v>974</v>
      </c>
      <c r="D494" s="22" t="s">
        <v>1230</v>
      </c>
      <c r="E494" s="22" t="s">
        <v>24</v>
      </c>
      <c r="F494" s="22" t="s">
        <v>780</v>
      </c>
      <c r="G494" s="23">
        <v>28277</v>
      </c>
      <c r="H494" s="22" t="s">
        <v>438</v>
      </c>
      <c r="I494" s="22" t="s">
        <v>26</v>
      </c>
      <c r="J494" s="22" t="s">
        <v>27</v>
      </c>
      <c r="K494" s="10" t="str">
        <f ca="1">DATEDIF('DATA PENDUDUK'!$G494,TODAY(),"Y")&amp; " TAHUN"</f>
        <v>48 TAHUN</v>
      </c>
      <c r="L494" s="24" t="s">
        <v>956</v>
      </c>
    </row>
    <row r="495" spans="1:12" ht="20.100000000000001" customHeight="1" x14ac:dyDescent="0.25">
      <c r="A495" s="8">
        <f t="shared" si="7"/>
        <v>492</v>
      </c>
      <c r="B495" s="21" t="s">
        <v>971</v>
      </c>
      <c r="C495" s="21" t="s">
        <v>976</v>
      </c>
      <c r="D495" s="22" t="s">
        <v>977</v>
      </c>
      <c r="E495" s="22" t="s">
        <v>671</v>
      </c>
      <c r="F495" s="22" t="s">
        <v>30</v>
      </c>
      <c r="G495" s="23">
        <v>35218</v>
      </c>
      <c r="H495" s="22" t="s">
        <v>438</v>
      </c>
      <c r="I495" s="22" t="s">
        <v>40</v>
      </c>
      <c r="J495" s="22" t="s">
        <v>32</v>
      </c>
      <c r="K495" s="10" t="str">
        <f ca="1">DATEDIF('DATA PENDUDUK'!$G495,TODAY(),"Y")&amp; " TAHUN"</f>
        <v>29 TAHUN</v>
      </c>
      <c r="L495" s="24" t="s">
        <v>956</v>
      </c>
    </row>
    <row r="496" spans="1:12" ht="20.100000000000001" customHeight="1" x14ac:dyDescent="0.25">
      <c r="A496" s="8">
        <f t="shared" si="7"/>
        <v>493</v>
      </c>
      <c r="B496" s="21" t="s">
        <v>971</v>
      </c>
      <c r="C496" s="21" t="s">
        <v>978</v>
      </c>
      <c r="D496" s="22" t="s">
        <v>979</v>
      </c>
      <c r="E496" s="22" t="s">
        <v>24</v>
      </c>
      <c r="F496" s="22" t="s">
        <v>30</v>
      </c>
      <c r="G496" s="23">
        <v>36387</v>
      </c>
      <c r="H496" s="22" t="s">
        <v>438</v>
      </c>
      <c r="I496" s="22" t="s">
        <v>40</v>
      </c>
      <c r="J496" s="22" t="s">
        <v>32</v>
      </c>
      <c r="K496" s="10" t="str">
        <f ca="1">DATEDIF('DATA PENDUDUK'!$G496,TODAY(),"Y")&amp; " TAHUN"</f>
        <v>25 TAHUN</v>
      </c>
      <c r="L496" s="24" t="s">
        <v>956</v>
      </c>
    </row>
    <row r="497" spans="1:12" ht="20.100000000000001" customHeight="1" x14ac:dyDescent="0.25">
      <c r="A497" s="8">
        <f t="shared" si="7"/>
        <v>494</v>
      </c>
      <c r="B497" s="21" t="s">
        <v>971</v>
      </c>
      <c r="C497" s="21" t="s">
        <v>980</v>
      </c>
      <c r="D497" s="22" t="s">
        <v>981</v>
      </c>
      <c r="E497" s="22" t="s">
        <v>671</v>
      </c>
      <c r="F497" s="22" t="s">
        <v>30</v>
      </c>
      <c r="G497" s="23">
        <v>36912</v>
      </c>
      <c r="H497" s="22" t="s">
        <v>438</v>
      </c>
      <c r="I497" s="22" t="s">
        <v>40</v>
      </c>
      <c r="J497" s="22" t="s">
        <v>32</v>
      </c>
      <c r="K497" s="10" t="str">
        <f ca="1">DATEDIF('DATA PENDUDUK'!$G497,TODAY(),"Y")&amp; " TAHUN"</f>
        <v>24 TAHUN</v>
      </c>
      <c r="L497" s="24" t="s">
        <v>956</v>
      </c>
    </row>
    <row r="498" spans="1:12" ht="20.100000000000001" customHeight="1" x14ac:dyDescent="0.25">
      <c r="A498" s="8">
        <f t="shared" si="7"/>
        <v>495</v>
      </c>
      <c r="B498" s="21" t="s">
        <v>971</v>
      </c>
      <c r="C498" s="21" t="s">
        <v>123</v>
      </c>
      <c r="D498" s="22" t="s">
        <v>983</v>
      </c>
      <c r="E498" s="22" t="s">
        <v>671</v>
      </c>
      <c r="F498" s="22" t="s">
        <v>30</v>
      </c>
      <c r="G498" s="23">
        <v>37581</v>
      </c>
      <c r="H498" s="22" t="s">
        <v>438</v>
      </c>
      <c r="I498" s="22" t="s">
        <v>40</v>
      </c>
      <c r="J498" s="22" t="s">
        <v>32</v>
      </c>
      <c r="K498" s="10" t="str">
        <f ca="1">DATEDIF('DATA PENDUDUK'!$G498,TODAY(),"Y")&amp; " TAHUN"</f>
        <v>22 TAHUN</v>
      </c>
      <c r="L498" s="24" t="s">
        <v>956</v>
      </c>
    </row>
    <row r="499" spans="1:12" ht="20.100000000000001" customHeight="1" x14ac:dyDescent="0.25">
      <c r="A499" s="8">
        <f t="shared" si="7"/>
        <v>496</v>
      </c>
      <c r="B499" s="21" t="s">
        <v>971</v>
      </c>
      <c r="C499" s="21" t="s">
        <v>984</v>
      </c>
      <c r="D499" s="22" t="s">
        <v>985</v>
      </c>
      <c r="E499" s="22" t="s">
        <v>24</v>
      </c>
      <c r="F499" s="22" t="s">
        <v>30</v>
      </c>
      <c r="G499" s="23">
        <v>41239</v>
      </c>
      <c r="H499" s="22" t="s">
        <v>438</v>
      </c>
      <c r="I499" s="22" t="s">
        <v>31</v>
      </c>
      <c r="J499" s="22" t="s">
        <v>32</v>
      </c>
      <c r="K499" s="10" t="str">
        <f ca="1">DATEDIF('DATA PENDUDUK'!$G499,TODAY(),"Y")&amp; " TAHUN"</f>
        <v>12 TAHUN</v>
      </c>
      <c r="L499" s="24" t="s">
        <v>956</v>
      </c>
    </row>
    <row r="500" spans="1:12" ht="20.100000000000001" customHeight="1" x14ac:dyDescent="0.25">
      <c r="A500" s="8">
        <f t="shared" si="7"/>
        <v>497</v>
      </c>
      <c r="B500" s="21" t="s">
        <v>971</v>
      </c>
      <c r="C500" s="21" t="s">
        <v>1231</v>
      </c>
      <c r="D500" s="22" t="s">
        <v>1232</v>
      </c>
      <c r="E500" s="22" t="s">
        <v>671</v>
      </c>
      <c r="F500" s="22" t="s">
        <v>30</v>
      </c>
      <c r="G500" s="23">
        <v>42621</v>
      </c>
      <c r="H500" s="22" t="s">
        <v>438</v>
      </c>
      <c r="I500" s="22" t="s">
        <v>31</v>
      </c>
      <c r="J500" s="22" t="s">
        <v>32</v>
      </c>
      <c r="K500" s="10" t="str">
        <f ca="1">DATEDIF('DATA PENDUDUK'!$G500,TODAY(),"Y")&amp; " TAHUN"</f>
        <v>8 TAHUN</v>
      </c>
      <c r="L500" s="24" t="s">
        <v>956</v>
      </c>
    </row>
    <row r="501" spans="1:12" ht="20.100000000000001" customHeight="1" x14ac:dyDescent="0.25">
      <c r="A501" s="8">
        <f t="shared" si="7"/>
        <v>498</v>
      </c>
      <c r="B501" s="21" t="s">
        <v>971</v>
      </c>
      <c r="C501" s="21" t="s">
        <v>1233</v>
      </c>
      <c r="D501" s="22" t="s">
        <v>1234</v>
      </c>
      <c r="E501" s="22" t="s">
        <v>671</v>
      </c>
      <c r="F501" s="22" t="s">
        <v>30</v>
      </c>
      <c r="G501" s="23">
        <v>42621</v>
      </c>
      <c r="H501" s="22" t="s">
        <v>438</v>
      </c>
      <c r="I501" s="22" t="s">
        <v>31</v>
      </c>
      <c r="J501" s="22" t="s">
        <v>32</v>
      </c>
      <c r="K501" s="10" t="str">
        <f ca="1">DATEDIF('DATA PENDUDUK'!$G501,TODAY(),"Y")&amp; " TAHUN"</f>
        <v>8 TAHUN</v>
      </c>
      <c r="L501" s="24" t="s">
        <v>956</v>
      </c>
    </row>
    <row r="502" spans="1:12" ht="20.100000000000001" customHeight="1" x14ac:dyDescent="0.25">
      <c r="A502" s="8">
        <f t="shared" si="7"/>
        <v>499</v>
      </c>
      <c r="B502" s="21" t="s">
        <v>986</v>
      </c>
      <c r="C502" s="21" t="s">
        <v>987</v>
      </c>
      <c r="D502" s="22" t="s">
        <v>988</v>
      </c>
      <c r="E502" s="22" t="s">
        <v>671</v>
      </c>
      <c r="F502" s="22" t="s">
        <v>989</v>
      </c>
      <c r="G502" s="23">
        <v>30943</v>
      </c>
      <c r="H502" s="22" t="s">
        <v>438</v>
      </c>
      <c r="I502" s="22" t="s">
        <v>36</v>
      </c>
      <c r="J502" s="22" t="s">
        <v>20</v>
      </c>
      <c r="K502" s="10" t="str">
        <f ca="1">DATEDIF('DATA PENDUDUK'!$G502,TODAY(),"Y")&amp; " TAHUN"</f>
        <v>40 TAHUN</v>
      </c>
      <c r="L502" s="24" t="s">
        <v>956</v>
      </c>
    </row>
    <row r="503" spans="1:12" ht="20.100000000000001" customHeight="1" x14ac:dyDescent="0.25">
      <c r="A503" s="8">
        <f t="shared" si="7"/>
        <v>500</v>
      </c>
      <c r="B503" s="21" t="s">
        <v>986</v>
      </c>
      <c r="C503" s="21" t="s">
        <v>1235</v>
      </c>
      <c r="D503" s="22" t="s">
        <v>1236</v>
      </c>
      <c r="E503" s="22" t="s">
        <v>671</v>
      </c>
      <c r="F503" s="22" t="s">
        <v>30</v>
      </c>
      <c r="G503" s="23">
        <v>42092</v>
      </c>
      <c r="H503" s="22" t="s">
        <v>438</v>
      </c>
      <c r="I503" s="22" t="s">
        <v>31</v>
      </c>
      <c r="J503" s="22" t="s">
        <v>32</v>
      </c>
      <c r="K503" s="10" t="str">
        <f ca="1">DATEDIF('DATA PENDUDUK'!$G503,TODAY(),"Y")&amp; " TAHUN"</f>
        <v>10 TAHUN</v>
      </c>
      <c r="L503" s="24" t="s">
        <v>956</v>
      </c>
    </row>
    <row r="504" spans="1:12" ht="20.100000000000001" customHeight="1" x14ac:dyDescent="0.25">
      <c r="A504" s="8">
        <f t="shared" si="7"/>
        <v>501</v>
      </c>
      <c r="B504" s="21" t="s">
        <v>1237</v>
      </c>
      <c r="C504" s="21" t="s">
        <v>1238</v>
      </c>
      <c r="D504" s="22" t="s">
        <v>1239</v>
      </c>
      <c r="E504" s="22" t="s">
        <v>671</v>
      </c>
      <c r="F504" s="22" t="s">
        <v>1240</v>
      </c>
      <c r="G504" s="23">
        <v>31418</v>
      </c>
      <c r="H504" s="22" t="s">
        <v>438</v>
      </c>
      <c r="I504" s="22" t="s">
        <v>19</v>
      </c>
      <c r="J504" s="22" t="s">
        <v>20</v>
      </c>
      <c r="K504" s="10" t="str">
        <f ca="1">DATEDIF('DATA PENDUDUK'!$G504,TODAY(),"Y")&amp; " TAHUN"</f>
        <v>39 TAHUN</v>
      </c>
      <c r="L504" s="24" t="s">
        <v>956</v>
      </c>
    </row>
    <row r="505" spans="1:12" ht="20.100000000000001" customHeight="1" x14ac:dyDescent="0.25">
      <c r="A505" s="8">
        <f t="shared" si="7"/>
        <v>502</v>
      </c>
      <c r="B505" s="21" t="s">
        <v>1237</v>
      </c>
      <c r="C505" s="21" t="s">
        <v>1241</v>
      </c>
      <c r="D505" s="22" t="s">
        <v>1242</v>
      </c>
      <c r="E505" s="22" t="s">
        <v>24</v>
      </c>
      <c r="F505" s="22" t="s">
        <v>1243</v>
      </c>
      <c r="G505" s="23">
        <v>32207</v>
      </c>
      <c r="H505" s="22" t="s">
        <v>438</v>
      </c>
      <c r="I505" s="22" t="s">
        <v>26</v>
      </c>
      <c r="J505" s="22" t="s">
        <v>27</v>
      </c>
      <c r="K505" s="10" t="str">
        <f ca="1">DATEDIF('DATA PENDUDUK'!$G505,TODAY(),"Y")&amp; " TAHUN"</f>
        <v>37 TAHUN</v>
      </c>
      <c r="L505" s="24" t="s">
        <v>956</v>
      </c>
    </row>
    <row r="506" spans="1:12" ht="20.100000000000001" customHeight="1" x14ac:dyDescent="0.25">
      <c r="A506" s="8">
        <f t="shared" si="7"/>
        <v>503</v>
      </c>
      <c r="B506" s="21" t="s">
        <v>1237</v>
      </c>
      <c r="C506" s="21" t="s">
        <v>1244</v>
      </c>
      <c r="D506" s="22" t="s">
        <v>1245</v>
      </c>
      <c r="E506" s="22" t="s">
        <v>671</v>
      </c>
      <c r="F506" s="22" t="s">
        <v>1246</v>
      </c>
      <c r="G506" s="23">
        <v>35189</v>
      </c>
      <c r="H506" s="22" t="s">
        <v>438</v>
      </c>
      <c r="I506" s="22" t="s">
        <v>40</v>
      </c>
      <c r="J506" s="22" t="s">
        <v>32</v>
      </c>
      <c r="K506" s="10" t="str">
        <f ca="1">DATEDIF('DATA PENDUDUK'!$G506,TODAY(),"Y")&amp; " TAHUN"</f>
        <v>29 TAHUN</v>
      </c>
      <c r="L506" s="24" t="s">
        <v>956</v>
      </c>
    </row>
    <row r="507" spans="1:12" ht="20.100000000000001" customHeight="1" x14ac:dyDescent="0.25">
      <c r="A507" s="8">
        <f t="shared" si="7"/>
        <v>504</v>
      </c>
      <c r="B507" s="21" t="s">
        <v>1237</v>
      </c>
      <c r="C507" s="21" t="s">
        <v>1247</v>
      </c>
      <c r="D507" s="22" t="s">
        <v>1248</v>
      </c>
      <c r="E507" s="22" t="s">
        <v>671</v>
      </c>
      <c r="F507" s="22" t="s">
        <v>1246</v>
      </c>
      <c r="G507" s="23">
        <v>37229</v>
      </c>
      <c r="H507" s="22" t="s">
        <v>438</v>
      </c>
      <c r="I507" s="22" t="s">
        <v>40</v>
      </c>
      <c r="J507" s="22" t="s">
        <v>32</v>
      </c>
      <c r="K507" s="10" t="str">
        <f ca="1">DATEDIF('DATA PENDUDUK'!$G507,TODAY(),"Y")&amp; " TAHUN"</f>
        <v>23 TAHUN</v>
      </c>
      <c r="L507" s="24" t="s">
        <v>956</v>
      </c>
    </row>
    <row r="508" spans="1:12" ht="20.100000000000001" customHeight="1" x14ac:dyDescent="0.25">
      <c r="A508" s="8">
        <f t="shared" si="7"/>
        <v>505</v>
      </c>
      <c r="B508" s="21" t="s">
        <v>1237</v>
      </c>
      <c r="C508" s="21" t="s">
        <v>1249</v>
      </c>
      <c r="D508" s="22" t="s">
        <v>1250</v>
      </c>
      <c r="E508" s="22" t="s">
        <v>671</v>
      </c>
      <c r="F508" s="22" t="s">
        <v>1246</v>
      </c>
      <c r="G508" s="23">
        <v>38756</v>
      </c>
      <c r="H508" s="22" t="s">
        <v>438</v>
      </c>
      <c r="I508" s="22" t="s">
        <v>40</v>
      </c>
      <c r="J508" s="22" t="s">
        <v>32</v>
      </c>
      <c r="K508" s="10" t="str">
        <f ca="1">DATEDIF('DATA PENDUDUK'!$G508,TODAY(),"Y")&amp; " TAHUN"</f>
        <v>19 TAHUN</v>
      </c>
      <c r="L508" s="24" t="s">
        <v>956</v>
      </c>
    </row>
    <row r="509" spans="1:12" ht="20.100000000000001" customHeight="1" x14ac:dyDescent="0.25">
      <c r="A509" s="8">
        <f t="shared" si="7"/>
        <v>506</v>
      </c>
      <c r="B509" s="21" t="s">
        <v>1237</v>
      </c>
      <c r="C509" s="21" t="s">
        <v>1251</v>
      </c>
      <c r="D509" s="22" t="s">
        <v>1252</v>
      </c>
      <c r="E509" s="22" t="s">
        <v>671</v>
      </c>
      <c r="F509" s="22" t="s">
        <v>1246</v>
      </c>
      <c r="G509" s="23">
        <v>40607</v>
      </c>
      <c r="H509" s="22" t="s">
        <v>438</v>
      </c>
      <c r="I509" s="22" t="s">
        <v>31</v>
      </c>
      <c r="J509" s="22" t="s">
        <v>32</v>
      </c>
      <c r="K509" s="10" t="str">
        <f ca="1">DATEDIF('DATA PENDUDUK'!$G509,TODAY(),"Y")&amp; " TAHUN"</f>
        <v>14 TAHUN</v>
      </c>
      <c r="L509" s="24" t="s">
        <v>956</v>
      </c>
    </row>
    <row r="510" spans="1:12" ht="20.100000000000001" customHeight="1" x14ac:dyDescent="0.25">
      <c r="A510" s="8">
        <f t="shared" si="7"/>
        <v>507</v>
      </c>
      <c r="B510" s="21" t="s">
        <v>1237</v>
      </c>
      <c r="C510" s="21" t="s">
        <v>1253</v>
      </c>
      <c r="D510" s="22" t="s">
        <v>1254</v>
      </c>
      <c r="E510" s="22" t="s">
        <v>671</v>
      </c>
      <c r="F510" s="22" t="s">
        <v>1246</v>
      </c>
      <c r="G510" s="23">
        <v>42408</v>
      </c>
      <c r="H510" s="22" t="s">
        <v>438</v>
      </c>
      <c r="I510" s="22" t="s">
        <v>31</v>
      </c>
      <c r="J510" s="22" t="s">
        <v>32</v>
      </c>
      <c r="K510" s="10" t="str">
        <f ca="1">DATEDIF('DATA PENDUDUK'!$G510,TODAY(),"Y")&amp; " TAHUN"</f>
        <v>9 TAHUN</v>
      </c>
      <c r="L510" s="24" t="s">
        <v>956</v>
      </c>
    </row>
    <row r="511" spans="1:12" ht="20.100000000000001" customHeight="1" x14ac:dyDescent="0.25">
      <c r="A511" s="8">
        <f t="shared" si="7"/>
        <v>508</v>
      </c>
      <c r="B511" s="21" t="s">
        <v>1237</v>
      </c>
      <c r="C511" s="21" t="s">
        <v>1255</v>
      </c>
      <c r="D511" s="22" t="s">
        <v>1256</v>
      </c>
      <c r="E511" s="22" t="s">
        <v>24</v>
      </c>
      <c r="F511" s="22" t="s">
        <v>1246</v>
      </c>
      <c r="G511" s="23">
        <v>42829</v>
      </c>
      <c r="H511" s="22" t="s">
        <v>438</v>
      </c>
      <c r="I511" s="22" t="s">
        <v>31</v>
      </c>
      <c r="J511" s="22" t="s">
        <v>32</v>
      </c>
      <c r="K511" s="10" t="str">
        <f ca="1">DATEDIF('DATA PENDUDUK'!$G511,TODAY(),"Y")&amp; " TAHUN"</f>
        <v>8 TAHUN</v>
      </c>
      <c r="L511" s="24" t="s">
        <v>956</v>
      </c>
    </row>
    <row r="512" spans="1:12" ht="20.100000000000001" customHeight="1" x14ac:dyDescent="0.25">
      <c r="A512" s="8">
        <f t="shared" si="7"/>
        <v>509</v>
      </c>
      <c r="B512" s="21" t="s">
        <v>1237</v>
      </c>
      <c r="C512" s="21" t="s">
        <v>1257</v>
      </c>
      <c r="D512" s="22" t="s">
        <v>1258</v>
      </c>
      <c r="E512" s="22" t="s">
        <v>671</v>
      </c>
      <c r="F512" s="22" t="s">
        <v>989</v>
      </c>
      <c r="G512" s="23">
        <v>42829</v>
      </c>
      <c r="H512" s="22" t="s">
        <v>438</v>
      </c>
      <c r="I512" s="22" t="s">
        <v>31</v>
      </c>
      <c r="J512" s="22" t="s">
        <v>32</v>
      </c>
      <c r="K512" s="10" t="str">
        <f ca="1">DATEDIF('DATA PENDUDUK'!$G512,TODAY(),"Y")&amp; " TAHUN"</f>
        <v>8 TAHUN</v>
      </c>
      <c r="L512" s="24" t="s">
        <v>956</v>
      </c>
    </row>
    <row r="513" spans="1:12" ht="20.100000000000001" customHeight="1" x14ac:dyDescent="0.25">
      <c r="A513" s="8">
        <f t="shared" si="7"/>
        <v>510</v>
      </c>
      <c r="B513" s="21" t="s">
        <v>1259</v>
      </c>
      <c r="C513" s="21" t="s">
        <v>1260</v>
      </c>
      <c r="D513" s="22" t="s">
        <v>1261</v>
      </c>
      <c r="E513" s="22" t="s">
        <v>671</v>
      </c>
      <c r="F513" s="22" t="s">
        <v>1025</v>
      </c>
      <c r="G513" s="23">
        <v>33183</v>
      </c>
      <c r="H513" s="22" t="s">
        <v>438</v>
      </c>
      <c r="I513" s="22" t="s">
        <v>19</v>
      </c>
      <c r="J513" s="22" t="s">
        <v>20</v>
      </c>
      <c r="K513" s="10" t="str">
        <f ca="1">DATEDIF('DATA PENDUDUK'!$G513,TODAY(),"Y")&amp; " TAHUN"</f>
        <v>34 TAHUN</v>
      </c>
      <c r="L513" s="24" t="s">
        <v>956</v>
      </c>
    </row>
    <row r="514" spans="1:12" ht="20.100000000000001" customHeight="1" x14ac:dyDescent="0.25">
      <c r="A514" s="8">
        <f t="shared" si="7"/>
        <v>511</v>
      </c>
      <c r="B514" s="21" t="s">
        <v>1262</v>
      </c>
      <c r="C514" s="21" t="s">
        <v>1263</v>
      </c>
      <c r="D514" s="22" t="s">
        <v>1264</v>
      </c>
      <c r="E514" s="22" t="s">
        <v>671</v>
      </c>
      <c r="F514" s="22" t="s">
        <v>1073</v>
      </c>
      <c r="G514" s="23">
        <v>31325</v>
      </c>
      <c r="H514" s="22" t="s">
        <v>438</v>
      </c>
      <c r="I514" s="22" t="s">
        <v>36</v>
      </c>
      <c r="J514" s="22" t="s">
        <v>20</v>
      </c>
      <c r="K514" s="10" t="str">
        <f ca="1">DATEDIF('DATA PENDUDUK'!$G514,TODAY(),"Y")&amp; " TAHUN"</f>
        <v>39 TAHUN</v>
      </c>
      <c r="L514" s="24" t="s">
        <v>956</v>
      </c>
    </row>
    <row r="515" spans="1:12" ht="20.100000000000001" customHeight="1" x14ac:dyDescent="0.25">
      <c r="A515" s="8">
        <f t="shared" si="7"/>
        <v>512</v>
      </c>
      <c r="B515" s="21" t="s">
        <v>1262</v>
      </c>
      <c r="C515" s="21" t="s">
        <v>1265</v>
      </c>
      <c r="D515" s="22" t="s">
        <v>1266</v>
      </c>
      <c r="E515" s="22" t="s">
        <v>24</v>
      </c>
      <c r="F515" s="22" t="s">
        <v>1073</v>
      </c>
      <c r="G515" s="23">
        <v>29652</v>
      </c>
      <c r="H515" s="22" t="s">
        <v>438</v>
      </c>
      <c r="I515" s="22" t="s">
        <v>26</v>
      </c>
      <c r="J515" s="22" t="s">
        <v>27</v>
      </c>
      <c r="K515" s="10" t="str">
        <f ca="1">DATEDIF('DATA PENDUDUK'!$G515,TODAY(),"Y")&amp; " TAHUN"</f>
        <v>44 TAHUN</v>
      </c>
      <c r="L515" s="24" t="s">
        <v>956</v>
      </c>
    </row>
    <row r="516" spans="1:12" ht="20.100000000000001" customHeight="1" x14ac:dyDescent="0.25">
      <c r="A516" s="8">
        <f t="shared" si="7"/>
        <v>513</v>
      </c>
      <c r="B516" s="21" t="s">
        <v>1262</v>
      </c>
      <c r="C516" s="21" t="s">
        <v>1267</v>
      </c>
      <c r="D516" s="22" t="s">
        <v>1268</v>
      </c>
      <c r="E516" s="22" t="s">
        <v>24</v>
      </c>
      <c r="F516" s="22" t="s">
        <v>376</v>
      </c>
      <c r="G516" s="23">
        <v>41455</v>
      </c>
      <c r="H516" s="22" t="s">
        <v>438</v>
      </c>
      <c r="I516" s="22" t="s">
        <v>31</v>
      </c>
      <c r="J516" s="22" t="s">
        <v>32</v>
      </c>
      <c r="K516" s="10" t="str">
        <f ca="1">DATEDIF('DATA PENDUDUK'!$G516,TODAY(),"Y")&amp; " TAHUN"</f>
        <v>12 TAHUN</v>
      </c>
      <c r="L516" s="24" t="s">
        <v>956</v>
      </c>
    </row>
    <row r="517" spans="1:12" ht="20.100000000000001" customHeight="1" x14ac:dyDescent="0.25">
      <c r="A517" s="8">
        <f t="shared" si="7"/>
        <v>514</v>
      </c>
      <c r="B517" s="21" t="s">
        <v>1262</v>
      </c>
      <c r="C517" s="21" t="s">
        <v>1269</v>
      </c>
      <c r="D517" s="22" t="s">
        <v>1270</v>
      </c>
      <c r="E517" s="22" t="s">
        <v>671</v>
      </c>
      <c r="F517" s="22" t="s">
        <v>1073</v>
      </c>
      <c r="G517" s="23">
        <v>31492</v>
      </c>
      <c r="H517" s="22" t="s">
        <v>438</v>
      </c>
      <c r="I517" s="22" t="s">
        <v>40</v>
      </c>
      <c r="J517" s="22" t="s">
        <v>37</v>
      </c>
      <c r="K517" s="10" t="str">
        <f ca="1">DATEDIF('DATA PENDUDUK'!$G517,TODAY(),"Y")&amp; " TAHUN"</f>
        <v>39 TAHUN</v>
      </c>
      <c r="L517" s="24" t="s">
        <v>956</v>
      </c>
    </row>
    <row r="518" spans="1:12" ht="20.100000000000001" customHeight="1" x14ac:dyDescent="0.25">
      <c r="A518" s="8">
        <f t="shared" ref="A518:A581" si="8">IF(D518="","",ROW()-3)</f>
        <v>515</v>
      </c>
      <c r="B518" s="21" t="s">
        <v>1262</v>
      </c>
      <c r="C518" s="21" t="s">
        <v>1271</v>
      </c>
      <c r="D518" s="22" t="s">
        <v>1158</v>
      </c>
      <c r="E518" s="22" t="s">
        <v>671</v>
      </c>
      <c r="F518" s="22" t="s">
        <v>1073</v>
      </c>
      <c r="G518" s="23">
        <v>37315</v>
      </c>
      <c r="H518" s="22" t="s">
        <v>438</v>
      </c>
      <c r="I518" s="22" t="s">
        <v>40</v>
      </c>
      <c r="J518" s="22" t="s">
        <v>37</v>
      </c>
      <c r="K518" s="10" t="str">
        <f ca="1">DATEDIF('DATA PENDUDUK'!$G518,TODAY(),"Y")&amp; " TAHUN"</f>
        <v>23 TAHUN</v>
      </c>
      <c r="L518" s="24" t="s">
        <v>956</v>
      </c>
    </row>
    <row r="519" spans="1:12" ht="20.100000000000001" customHeight="1" x14ac:dyDescent="0.25">
      <c r="A519" s="8">
        <f t="shared" si="8"/>
        <v>516</v>
      </c>
      <c r="B519" s="21" t="s">
        <v>1272</v>
      </c>
      <c r="C519" s="21" t="s">
        <v>1273</v>
      </c>
      <c r="D519" s="22" t="s">
        <v>1274</v>
      </c>
      <c r="E519" s="22" t="s">
        <v>671</v>
      </c>
      <c r="F519" s="22" t="s">
        <v>780</v>
      </c>
      <c r="G519" s="23">
        <v>33795</v>
      </c>
      <c r="H519" s="22" t="s">
        <v>438</v>
      </c>
      <c r="I519" s="22" t="s">
        <v>36</v>
      </c>
      <c r="J519" s="22" t="s">
        <v>20</v>
      </c>
      <c r="K519" s="10" t="str">
        <f ca="1">DATEDIF('DATA PENDUDUK'!$G519,TODAY(),"Y")&amp; " TAHUN"</f>
        <v>33 TAHUN</v>
      </c>
      <c r="L519" s="24" t="s">
        <v>956</v>
      </c>
    </row>
    <row r="520" spans="1:12" ht="20.100000000000001" customHeight="1" x14ac:dyDescent="0.25">
      <c r="A520" s="8">
        <f t="shared" si="8"/>
        <v>517</v>
      </c>
      <c r="B520" s="21" t="s">
        <v>1275</v>
      </c>
      <c r="C520" s="21" t="s">
        <v>1276</v>
      </c>
      <c r="D520" s="22" t="s">
        <v>1277</v>
      </c>
      <c r="E520" s="22" t="s">
        <v>671</v>
      </c>
      <c r="F520" s="22" t="s">
        <v>863</v>
      </c>
      <c r="G520" s="23">
        <v>33915</v>
      </c>
      <c r="H520" s="22" t="s">
        <v>438</v>
      </c>
      <c r="I520" s="22" t="s">
        <v>19</v>
      </c>
      <c r="J520" s="22" t="s">
        <v>20</v>
      </c>
      <c r="K520" s="10" t="str">
        <f ca="1">DATEDIF('DATA PENDUDUK'!$G520,TODAY(),"Y")&amp; " TAHUN"</f>
        <v>32 TAHUN</v>
      </c>
      <c r="L520" s="24" t="s">
        <v>956</v>
      </c>
    </row>
    <row r="521" spans="1:12" ht="20.100000000000001" customHeight="1" x14ac:dyDescent="0.25">
      <c r="A521" s="8">
        <f t="shared" si="8"/>
        <v>518</v>
      </c>
      <c r="B521" s="21" t="s">
        <v>1275</v>
      </c>
      <c r="C521" s="21" t="s">
        <v>1278</v>
      </c>
      <c r="D521" s="22" t="s">
        <v>1279</v>
      </c>
      <c r="E521" s="22" t="s">
        <v>671</v>
      </c>
      <c r="F521" s="22" t="s">
        <v>30</v>
      </c>
      <c r="G521" s="23">
        <v>45466</v>
      </c>
      <c r="H521" s="22" t="s">
        <v>438</v>
      </c>
      <c r="I521" s="22" t="s">
        <v>40</v>
      </c>
      <c r="J521" s="22" t="s">
        <v>32</v>
      </c>
      <c r="K521" s="10" t="str">
        <f ca="1">DATEDIF('DATA PENDUDUK'!$G521,TODAY(),"Y")&amp; " TAHUN"</f>
        <v>1 TAHUN</v>
      </c>
      <c r="L521" s="24" t="s">
        <v>956</v>
      </c>
    </row>
    <row r="522" spans="1:12" ht="20.100000000000001" customHeight="1" x14ac:dyDescent="0.25">
      <c r="A522" s="8">
        <f t="shared" si="8"/>
        <v>519</v>
      </c>
      <c r="B522" s="21" t="s">
        <v>1275</v>
      </c>
      <c r="C522" s="21" t="s">
        <v>1280</v>
      </c>
      <c r="D522" s="22" t="s">
        <v>1281</v>
      </c>
      <c r="E522" s="22" t="s">
        <v>24</v>
      </c>
      <c r="F522" s="22" t="s">
        <v>1282</v>
      </c>
      <c r="G522" s="23">
        <v>37653</v>
      </c>
      <c r="H522" s="22" t="s">
        <v>438</v>
      </c>
      <c r="I522" s="22" t="s">
        <v>40</v>
      </c>
      <c r="J522" s="22" t="s">
        <v>37</v>
      </c>
      <c r="K522" s="10" t="str">
        <f ca="1">DATEDIF('DATA PENDUDUK'!$G522,TODAY(),"Y")&amp; " TAHUN"</f>
        <v>22 TAHUN</v>
      </c>
      <c r="L522" s="24" t="s">
        <v>956</v>
      </c>
    </row>
    <row r="523" spans="1:12" ht="20.100000000000001" customHeight="1" x14ac:dyDescent="0.25">
      <c r="A523" s="8">
        <f t="shared" si="8"/>
        <v>520</v>
      </c>
      <c r="B523" s="21" t="s">
        <v>1283</v>
      </c>
      <c r="C523" s="21" t="s">
        <v>1284</v>
      </c>
      <c r="D523" s="22" t="s">
        <v>1285</v>
      </c>
      <c r="E523" s="22" t="s">
        <v>24</v>
      </c>
      <c r="F523" s="22" t="s">
        <v>681</v>
      </c>
      <c r="G523" s="23">
        <v>31451</v>
      </c>
      <c r="H523" s="22" t="s">
        <v>438</v>
      </c>
      <c r="I523" s="22" t="s">
        <v>26</v>
      </c>
      <c r="J523" s="22" t="s">
        <v>20</v>
      </c>
      <c r="K523" s="10" t="str">
        <f ca="1">DATEDIF('DATA PENDUDUK'!$G523,TODAY(),"Y")&amp; " TAHUN"</f>
        <v>39 TAHUN</v>
      </c>
      <c r="L523" s="24" t="s">
        <v>956</v>
      </c>
    </row>
    <row r="524" spans="1:12" ht="20.100000000000001" customHeight="1" x14ac:dyDescent="0.25">
      <c r="A524" s="8">
        <f t="shared" si="8"/>
        <v>521</v>
      </c>
      <c r="B524" s="21" t="s">
        <v>1283</v>
      </c>
      <c r="C524" s="21" t="s">
        <v>1286</v>
      </c>
      <c r="D524" s="22" t="s">
        <v>1287</v>
      </c>
      <c r="E524" s="22" t="s">
        <v>671</v>
      </c>
      <c r="F524" s="22" t="s">
        <v>681</v>
      </c>
      <c r="G524" s="23">
        <v>34153</v>
      </c>
      <c r="H524" s="22" t="s">
        <v>438</v>
      </c>
      <c r="I524" s="22" t="s">
        <v>40</v>
      </c>
      <c r="J524" s="22" t="s">
        <v>32</v>
      </c>
      <c r="K524" s="10" t="str">
        <f ca="1">DATEDIF('DATA PENDUDUK'!$G524,TODAY(),"Y")&amp; " TAHUN"</f>
        <v>32 TAHUN</v>
      </c>
      <c r="L524" s="24" t="s">
        <v>956</v>
      </c>
    </row>
    <row r="525" spans="1:12" ht="20.100000000000001" customHeight="1" x14ac:dyDescent="0.25">
      <c r="A525" s="8">
        <f t="shared" si="8"/>
        <v>522</v>
      </c>
      <c r="B525" s="21" t="s">
        <v>1283</v>
      </c>
      <c r="C525" s="21" t="s">
        <v>1288</v>
      </c>
      <c r="D525" s="22" t="s">
        <v>1289</v>
      </c>
      <c r="E525" s="22" t="s">
        <v>671</v>
      </c>
      <c r="F525" s="22" t="s">
        <v>30</v>
      </c>
      <c r="G525" s="23">
        <v>34339</v>
      </c>
      <c r="H525" s="22" t="s">
        <v>438</v>
      </c>
      <c r="I525" s="22" t="s">
        <v>40</v>
      </c>
      <c r="J525" s="22" t="s">
        <v>32</v>
      </c>
      <c r="K525" s="10" t="str">
        <f ca="1">DATEDIF('DATA PENDUDUK'!$G525,TODAY(),"Y")&amp; " TAHUN"</f>
        <v>31 TAHUN</v>
      </c>
      <c r="L525" s="24" t="s">
        <v>956</v>
      </c>
    </row>
    <row r="526" spans="1:12" ht="20.100000000000001" customHeight="1" x14ac:dyDescent="0.25">
      <c r="A526" s="8">
        <f t="shared" si="8"/>
        <v>523</v>
      </c>
      <c r="B526" s="21" t="s">
        <v>1283</v>
      </c>
      <c r="C526" s="21" t="s">
        <v>1290</v>
      </c>
      <c r="D526" s="22" t="s">
        <v>1291</v>
      </c>
      <c r="E526" s="22" t="s">
        <v>671</v>
      </c>
      <c r="F526" s="22" t="s">
        <v>30</v>
      </c>
      <c r="G526" s="23">
        <v>36324</v>
      </c>
      <c r="H526" s="22" t="s">
        <v>438</v>
      </c>
      <c r="I526" s="22" t="s">
        <v>40</v>
      </c>
      <c r="J526" s="22" t="s">
        <v>32</v>
      </c>
      <c r="K526" s="10" t="str">
        <f ca="1">DATEDIF('DATA PENDUDUK'!$G526,TODAY(),"Y")&amp; " TAHUN"</f>
        <v>26 TAHUN</v>
      </c>
      <c r="L526" s="24" t="s">
        <v>956</v>
      </c>
    </row>
    <row r="527" spans="1:12" ht="20.100000000000001" customHeight="1" x14ac:dyDescent="0.25">
      <c r="A527" s="8">
        <f t="shared" si="8"/>
        <v>524</v>
      </c>
      <c r="B527" s="21" t="s">
        <v>1283</v>
      </c>
      <c r="C527" s="21" t="s">
        <v>1292</v>
      </c>
      <c r="D527" s="22" t="s">
        <v>1293</v>
      </c>
      <c r="E527" s="22" t="s">
        <v>671</v>
      </c>
      <c r="F527" s="22" t="s">
        <v>30</v>
      </c>
      <c r="G527" s="23">
        <v>37179</v>
      </c>
      <c r="H527" s="22" t="s">
        <v>438</v>
      </c>
      <c r="I527" s="22" t="s">
        <v>40</v>
      </c>
      <c r="J527" s="22" t="s">
        <v>32</v>
      </c>
      <c r="K527" s="10" t="str">
        <f ca="1">DATEDIF('DATA PENDUDUK'!$G527,TODAY(),"Y")&amp; " TAHUN"</f>
        <v>23 TAHUN</v>
      </c>
      <c r="L527" s="24" t="s">
        <v>956</v>
      </c>
    </row>
    <row r="528" spans="1:12" ht="20.100000000000001" customHeight="1" x14ac:dyDescent="0.25">
      <c r="A528" s="8">
        <f t="shared" si="8"/>
        <v>525</v>
      </c>
      <c r="B528" s="21" t="s">
        <v>1283</v>
      </c>
      <c r="C528" s="21" t="s">
        <v>1294</v>
      </c>
      <c r="D528" s="22" t="s">
        <v>1295</v>
      </c>
      <c r="E528" s="22" t="s">
        <v>24</v>
      </c>
      <c r="F528" s="22" t="s">
        <v>30</v>
      </c>
      <c r="G528" s="23">
        <v>39590</v>
      </c>
      <c r="H528" s="22" t="s">
        <v>438</v>
      </c>
      <c r="I528" s="22" t="s">
        <v>31</v>
      </c>
      <c r="J528" s="22" t="s">
        <v>32</v>
      </c>
      <c r="K528" s="10" t="str">
        <f ca="1">DATEDIF('DATA PENDUDUK'!$G528,TODAY(),"Y")&amp; " TAHUN"</f>
        <v>17 TAHUN</v>
      </c>
      <c r="L528" s="24" t="s">
        <v>956</v>
      </c>
    </row>
    <row r="529" spans="1:12" ht="20.100000000000001" customHeight="1" x14ac:dyDescent="0.25">
      <c r="A529" s="8">
        <f t="shared" si="8"/>
        <v>526</v>
      </c>
      <c r="B529" s="21" t="s">
        <v>1283</v>
      </c>
      <c r="C529" s="21" t="s">
        <v>1296</v>
      </c>
      <c r="D529" s="22" t="s">
        <v>1297</v>
      </c>
      <c r="E529" s="22" t="s">
        <v>671</v>
      </c>
      <c r="F529" s="22" t="s">
        <v>780</v>
      </c>
      <c r="G529" s="23">
        <v>36018</v>
      </c>
      <c r="H529" s="22" t="s">
        <v>438</v>
      </c>
      <c r="I529" s="22" t="s">
        <v>19</v>
      </c>
      <c r="J529" s="22" t="s">
        <v>37</v>
      </c>
      <c r="K529" s="10" t="str">
        <f ca="1">DATEDIF('DATA PENDUDUK'!$G529,TODAY(),"Y")&amp; " TAHUN"</f>
        <v>26 TAHUN</v>
      </c>
      <c r="L529" s="24" t="s">
        <v>956</v>
      </c>
    </row>
    <row r="530" spans="1:12" ht="20.100000000000001" customHeight="1" x14ac:dyDescent="0.25">
      <c r="A530" s="8">
        <f t="shared" si="8"/>
        <v>527</v>
      </c>
      <c r="B530" s="21" t="s">
        <v>1298</v>
      </c>
      <c r="C530" s="21" t="s">
        <v>1299</v>
      </c>
      <c r="D530" s="22" t="s">
        <v>1300</v>
      </c>
      <c r="E530" s="22" t="s">
        <v>671</v>
      </c>
      <c r="F530" s="22" t="s">
        <v>1301</v>
      </c>
      <c r="G530" s="23">
        <v>32672</v>
      </c>
      <c r="H530" s="22" t="s">
        <v>35</v>
      </c>
      <c r="I530" s="22" t="s">
        <v>1302</v>
      </c>
      <c r="J530" s="22" t="s">
        <v>20</v>
      </c>
      <c r="K530" s="10" t="str">
        <f ca="1">DATEDIF('DATA PENDUDUK'!$G530,TODAY(),"Y")&amp; " TAHUN"</f>
        <v>36 TAHUN</v>
      </c>
      <c r="L530" s="24" t="s">
        <v>1303</v>
      </c>
    </row>
    <row r="531" spans="1:12" ht="20.100000000000001" customHeight="1" x14ac:dyDescent="0.25">
      <c r="A531" s="8">
        <f t="shared" si="8"/>
        <v>528</v>
      </c>
      <c r="B531" s="21" t="s">
        <v>1298</v>
      </c>
      <c r="C531" s="21" t="s">
        <v>1304</v>
      </c>
      <c r="D531" s="22" t="s">
        <v>1305</v>
      </c>
      <c r="E531" s="22" t="s">
        <v>1306</v>
      </c>
      <c r="F531" s="22" t="s">
        <v>195</v>
      </c>
      <c r="G531" s="23">
        <v>32267</v>
      </c>
      <c r="H531" s="22" t="s">
        <v>35</v>
      </c>
      <c r="I531" s="22" t="s">
        <v>26</v>
      </c>
      <c r="J531" s="22" t="s">
        <v>27</v>
      </c>
      <c r="K531" s="10" t="str">
        <f ca="1">DATEDIF('DATA PENDUDUK'!$G531,TODAY(),"Y")&amp; " TAHUN"</f>
        <v>37 TAHUN</v>
      </c>
      <c r="L531" s="24" t="s">
        <v>1303</v>
      </c>
    </row>
    <row r="532" spans="1:12" ht="20.100000000000001" customHeight="1" x14ac:dyDescent="0.25">
      <c r="A532" s="8">
        <f t="shared" si="8"/>
        <v>529</v>
      </c>
      <c r="B532" s="21" t="s">
        <v>1298</v>
      </c>
      <c r="C532" s="21" t="s">
        <v>1307</v>
      </c>
      <c r="D532" s="22" t="s">
        <v>1308</v>
      </c>
      <c r="E532" s="22" t="s">
        <v>671</v>
      </c>
      <c r="F532" s="22" t="s">
        <v>818</v>
      </c>
      <c r="G532" s="23">
        <v>41113</v>
      </c>
      <c r="H532" s="22" t="s">
        <v>35</v>
      </c>
      <c r="I532" s="22" t="s">
        <v>31</v>
      </c>
      <c r="J532" s="22" t="s">
        <v>32</v>
      </c>
      <c r="K532" s="10" t="str">
        <f ca="1">DATEDIF('DATA PENDUDUK'!$G532,TODAY(),"Y")&amp; " TAHUN"</f>
        <v>13 TAHUN</v>
      </c>
      <c r="L532" s="24" t="s">
        <v>1303</v>
      </c>
    </row>
    <row r="533" spans="1:12" ht="20.100000000000001" customHeight="1" x14ac:dyDescent="0.25">
      <c r="A533" s="8">
        <f t="shared" si="8"/>
        <v>530</v>
      </c>
      <c r="B533" s="21" t="s">
        <v>1298</v>
      </c>
      <c r="C533" s="21" t="s">
        <v>1309</v>
      </c>
      <c r="D533" s="22" t="s">
        <v>1310</v>
      </c>
      <c r="E533" s="22" t="s">
        <v>1306</v>
      </c>
      <c r="F533" s="22" t="s">
        <v>818</v>
      </c>
      <c r="G533" s="23">
        <v>41862</v>
      </c>
      <c r="H533" s="22" t="s">
        <v>35</v>
      </c>
      <c r="I533" s="22" t="s">
        <v>31</v>
      </c>
      <c r="J533" s="22" t="s">
        <v>32</v>
      </c>
      <c r="K533" s="10" t="str">
        <f ca="1">DATEDIF('DATA PENDUDUK'!$G533,TODAY(),"Y")&amp; " TAHUN"</f>
        <v>10 TAHUN</v>
      </c>
      <c r="L533" s="24" t="s">
        <v>1303</v>
      </c>
    </row>
    <row r="534" spans="1:12" ht="20.100000000000001" customHeight="1" x14ac:dyDescent="0.25">
      <c r="A534" s="8">
        <f t="shared" si="8"/>
        <v>531</v>
      </c>
      <c r="B534" s="21" t="s">
        <v>1298</v>
      </c>
      <c r="C534" s="21" t="s">
        <v>1311</v>
      </c>
      <c r="D534" s="22" t="s">
        <v>1312</v>
      </c>
      <c r="E534" s="22" t="s">
        <v>671</v>
      </c>
      <c r="F534" s="22" t="s">
        <v>1313</v>
      </c>
      <c r="G534" s="23">
        <v>34017</v>
      </c>
      <c r="H534" s="22" t="s">
        <v>35</v>
      </c>
      <c r="I534" s="22" t="s">
        <v>40</v>
      </c>
      <c r="J534" s="22" t="s">
        <v>37</v>
      </c>
      <c r="K534" s="10" t="str">
        <f ca="1">DATEDIF('DATA PENDUDUK'!$G534,TODAY(),"Y")&amp; " TAHUN"</f>
        <v>32 TAHUN</v>
      </c>
      <c r="L534" s="24" t="s">
        <v>1303</v>
      </c>
    </row>
    <row r="535" spans="1:12" ht="20.100000000000001" customHeight="1" x14ac:dyDescent="0.25">
      <c r="A535" s="8">
        <f t="shared" si="8"/>
        <v>532</v>
      </c>
      <c r="B535" s="21" t="s">
        <v>1314</v>
      </c>
      <c r="C535" s="21" t="s">
        <v>1315</v>
      </c>
      <c r="D535" s="22" t="s">
        <v>1316</v>
      </c>
      <c r="E535" s="22" t="s">
        <v>671</v>
      </c>
      <c r="F535" s="22" t="s">
        <v>524</v>
      </c>
      <c r="G535" s="23">
        <v>34696</v>
      </c>
      <c r="H535" s="22" t="s">
        <v>35</v>
      </c>
      <c r="I535" s="22" t="s">
        <v>73</v>
      </c>
      <c r="J535" s="22" t="s">
        <v>20</v>
      </c>
      <c r="K535" s="10" t="str">
        <f ca="1">DATEDIF('DATA PENDUDUK'!$G535,TODAY(),"Y")&amp; " TAHUN"</f>
        <v>30 TAHUN</v>
      </c>
      <c r="L535" s="24" t="s">
        <v>1303</v>
      </c>
    </row>
    <row r="536" spans="1:12" ht="20.100000000000001" customHeight="1" x14ac:dyDescent="0.25">
      <c r="A536" s="8">
        <f t="shared" si="8"/>
        <v>533</v>
      </c>
      <c r="B536" s="21" t="s">
        <v>1314</v>
      </c>
      <c r="C536" s="21" t="s">
        <v>1317</v>
      </c>
      <c r="D536" s="22" t="s">
        <v>1318</v>
      </c>
      <c r="E536" s="22" t="s">
        <v>1306</v>
      </c>
      <c r="F536" s="22" t="s">
        <v>1319</v>
      </c>
      <c r="G536" s="23">
        <v>32815</v>
      </c>
      <c r="H536" s="22" t="s">
        <v>35</v>
      </c>
      <c r="I536" s="22" t="s">
        <v>1302</v>
      </c>
      <c r="J536" s="22" t="s">
        <v>27</v>
      </c>
      <c r="K536" s="10" t="str">
        <f ca="1">DATEDIF('DATA PENDUDUK'!$G536,TODAY(),"Y")&amp; " TAHUN"</f>
        <v>35 TAHUN</v>
      </c>
      <c r="L536" s="24" t="s">
        <v>1303</v>
      </c>
    </row>
    <row r="537" spans="1:12" ht="20.100000000000001" customHeight="1" x14ac:dyDescent="0.25">
      <c r="A537" s="8">
        <f t="shared" si="8"/>
        <v>534</v>
      </c>
      <c r="B537" s="21" t="s">
        <v>1320</v>
      </c>
      <c r="C537" s="21" t="s">
        <v>1321</v>
      </c>
      <c r="D537" s="22" t="s">
        <v>1322</v>
      </c>
      <c r="E537" s="22" t="s">
        <v>1306</v>
      </c>
      <c r="F537" s="22" t="s">
        <v>1323</v>
      </c>
      <c r="G537" s="23">
        <v>34537</v>
      </c>
      <c r="H537" s="22" t="s">
        <v>35</v>
      </c>
      <c r="I537" s="22" t="s">
        <v>19</v>
      </c>
      <c r="J537" s="22" t="s">
        <v>20</v>
      </c>
      <c r="K537" s="10" t="str">
        <f ca="1">DATEDIF('DATA PENDUDUK'!$G537,TODAY(),"Y")&amp; " TAHUN"</f>
        <v>31 TAHUN</v>
      </c>
      <c r="L537" s="24" t="s">
        <v>1303</v>
      </c>
    </row>
    <row r="538" spans="1:12" ht="20.100000000000001" customHeight="1" x14ac:dyDescent="0.25">
      <c r="A538" s="8">
        <f t="shared" si="8"/>
        <v>535</v>
      </c>
      <c r="B538" s="21" t="s">
        <v>1324</v>
      </c>
      <c r="C538" s="21" t="s">
        <v>1325</v>
      </c>
      <c r="D538" s="22" t="s">
        <v>1326</v>
      </c>
      <c r="E538" s="22" t="s">
        <v>1306</v>
      </c>
      <c r="F538" s="22" t="s">
        <v>332</v>
      </c>
      <c r="G538" s="23">
        <v>28449</v>
      </c>
      <c r="H538" s="22" t="s">
        <v>35</v>
      </c>
      <c r="I538" s="22" t="s">
        <v>26</v>
      </c>
      <c r="J538" s="22" t="s">
        <v>20</v>
      </c>
      <c r="K538" s="10" t="str">
        <f ca="1">DATEDIF('DATA PENDUDUK'!$G538,TODAY(),"Y")&amp; " TAHUN"</f>
        <v>47 TAHUN</v>
      </c>
      <c r="L538" s="24" t="s">
        <v>1303</v>
      </c>
    </row>
    <row r="539" spans="1:12" ht="20.100000000000001" customHeight="1" x14ac:dyDescent="0.25">
      <c r="A539" s="8">
        <f t="shared" si="8"/>
        <v>536</v>
      </c>
      <c r="B539" s="21" t="s">
        <v>1324</v>
      </c>
      <c r="C539" s="21" t="s">
        <v>1327</v>
      </c>
      <c r="D539" s="22" t="s">
        <v>1328</v>
      </c>
      <c r="E539" s="22" t="s">
        <v>1306</v>
      </c>
      <c r="F539" s="22" t="s">
        <v>332</v>
      </c>
      <c r="G539" s="23">
        <v>38022</v>
      </c>
      <c r="H539" s="22" t="s">
        <v>35</v>
      </c>
      <c r="I539" s="22" t="s">
        <v>40</v>
      </c>
      <c r="J539" s="22" t="s">
        <v>32</v>
      </c>
      <c r="K539" s="10" t="str">
        <f ca="1">DATEDIF('DATA PENDUDUK'!$G539,TODAY(),"Y")&amp; " TAHUN"</f>
        <v>21 TAHUN</v>
      </c>
      <c r="L539" s="24" t="s">
        <v>1303</v>
      </c>
    </row>
    <row r="540" spans="1:12" ht="20.100000000000001" customHeight="1" x14ac:dyDescent="0.25">
      <c r="A540" s="8">
        <f t="shared" si="8"/>
        <v>537</v>
      </c>
      <c r="B540" s="21" t="s">
        <v>1329</v>
      </c>
      <c r="C540" s="21" t="s">
        <v>1330</v>
      </c>
      <c r="D540" s="22" t="s">
        <v>1331</v>
      </c>
      <c r="E540" s="22" t="s">
        <v>671</v>
      </c>
      <c r="F540" s="22" t="s">
        <v>1332</v>
      </c>
      <c r="G540" s="23">
        <v>34895</v>
      </c>
      <c r="H540" s="22" t="s">
        <v>35</v>
      </c>
      <c r="I540" s="22" t="s">
        <v>1302</v>
      </c>
      <c r="J540" s="22" t="s">
        <v>20</v>
      </c>
      <c r="K540" s="10" t="str">
        <f ca="1">DATEDIF('DATA PENDUDUK'!$G540,TODAY(),"Y")&amp; " TAHUN"</f>
        <v>30 TAHUN</v>
      </c>
      <c r="L540" s="24" t="s">
        <v>1303</v>
      </c>
    </row>
    <row r="541" spans="1:12" ht="20.100000000000001" customHeight="1" x14ac:dyDescent="0.25">
      <c r="A541" s="8">
        <f t="shared" si="8"/>
        <v>538</v>
      </c>
      <c r="B541" s="21" t="s">
        <v>1329</v>
      </c>
      <c r="C541" s="21" t="s">
        <v>1333</v>
      </c>
      <c r="D541" s="22" t="s">
        <v>1334</v>
      </c>
      <c r="E541" s="22" t="s">
        <v>1306</v>
      </c>
      <c r="F541" s="22" t="s">
        <v>1335</v>
      </c>
      <c r="G541" s="23">
        <v>35855</v>
      </c>
      <c r="H541" s="22" t="s">
        <v>35</v>
      </c>
      <c r="I541" s="22" t="s">
        <v>26</v>
      </c>
      <c r="J541" s="22" t="s">
        <v>27</v>
      </c>
      <c r="K541" s="10" t="str">
        <f ca="1">DATEDIF('DATA PENDUDUK'!$G541,TODAY(),"Y")&amp; " TAHUN"</f>
        <v>27 TAHUN</v>
      </c>
      <c r="L541" s="24" t="s">
        <v>1303</v>
      </c>
    </row>
    <row r="542" spans="1:12" ht="20.100000000000001" customHeight="1" x14ac:dyDescent="0.25">
      <c r="A542" s="8">
        <f t="shared" si="8"/>
        <v>539</v>
      </c>
      <c r="B542" s="21" t="s">
        <v>1329</v>
      </c>
      <c r="C542" s="21" t="s">
        <v>1336</v>
      </c>
      <c r="D542" s="22" t="s">
        <v>1337</v>
      </c>
      <c r="E542" s="22" t="s">
        <v>1306</v>
      </c>
      <c r="F542" s="22" t="s">
        <v>30</v>
      </c>
      <c r="G542" s="23">
        <v>43690</v>
      </c>
      <c r="H542" s="22" t="s">
        <v>35</v>
      </c>
      <c r="I542" s="22" t="s">
        <v>40</v>
      </c>
      <c r="J542" s="22" t="s">
        <v>32</v>
      </c>
      <c r="K542" s="10" t="str">
        <f ca="1">DATEDIF('DATA PENDUDUK'!$G542,TODAY(),"Y")&amp; " TAHUN"</f>
        <v>5 TAHUN</v>
      </c>
      <c r="L542" s="24" t="s">
        <v>1303</v>
      </c>
    </row>
    <row r="543" spans="1:12" ht="20.100000000000001" customHeight="1" x14ac:dyDescent="0.25">
      <c r="A543" s="8">
        <f t="shared" si="8"/>
        <v>540</v>
      </c>
      <c r="B543" s="21" t="s">
        <v>1338</v>
      </c>
      <c r="C543" s="21" t="s">
        <v>1339</v>
      </c>
      <c r="D543" s="22" t="s">
        <v>1340</v>
      </c>
      <c r="E543" s="22" t="s">
        <v>1306</v>
      </c>
      <c r="F543" s="22" t="s">
        <v>629</v>
      </c>
      <c r="G543" s="23">
        <v>26548</v>
      </c>
      <c r="H543" s="22" t="s">
        <v>35</v>
      </c>
      <c r="I543" s="22" t="s">
        <v>26</v>
      </c>
      <c r="J543" s="22" t="s">
        <v>20</v>
      </c>
      <c r="K543" s="10" t="str">
        <f ca="1">DATEDIF('DATA PENDUDUK'!$G543,TODAY(),"Y")&amp; " TAHUN"</f>
        <v>52 TAHUN</v>
      </c>
      <c r="L543" s="24" t="s">
        <v>1303</v>
      </c>
    </row>
    <row r="544" spans="1:12" ht="20.100000000000001" customHeight="1" x14ac:dyDescent="0.25">
      <c r="A544" s="8">
        <f t="shared" si="8"/>
        <v>541</v>
      </c>
      <c r="B544" s="21" t="s">
        <v>1338</v>
      </c>
      <c r="C544" s="21" t="s">
        <v>1341</v>
      </c>
      <c r="D544" s="22" t="s">
        <v>1342</v>
      </c>
      <c r="E544" s="22" t="s">
        <v>1306</v>
      </c>
      <c r="F544" s="22" t="s">
        <v>1343</v>
      </c>
      <c r="G544" s="23">
        <v>41320</v>
      </c>
      <c r="H544" s="22" t="s">
        <v>35</v>
      </c>
      <c r="I544" s="22" t="s">
        <v>31</v>
      </c>
      <c r="J544" s="22" t="s">
        <v>32</v>
      </c>
      <c r="K544" s="10" t="str">
        <f ca="1">DATEDIF('DATA PENDUDUK'!$G544,TODAY(),"Y")&amp; " TAHUN"</f>
        <v>12 TAHUN</v>
      </c>
      <c r="L544" s="24" t="s">
        <v>1303</v>
      </c>
    </row>
    <row r="545" spans="1:12" ht="20.100000000000001" customHeight="1" x14ac:dyDescent="0.25">
      <c r="A545" s="8">
        <f t="shared" si="8"/>
        <v>542</v>
      </c>
      <c r="B545" s="21" t="s">
        <v>1338</v>
      </c>
      <c r="C545" s="21" t="s">
        <v>1344</v>
      </c>
      <c r="D545" s="22" t="s">
        <v>1345</v>
      </c>
      <c r="E545" s="22" t="s">
        <v>1306</v>
      </c>
      <c r="F545" s="22" t="s">
        <v>1343</v>
      </c>
      <c r="G545" s="23">
        <v>41835</v>
      </c>
      <c r="H545" s="22" t="s">
        <v>35</v>
      </c>
      <c r="I545" s="22" t="s">
        <v>31</v>
      </c>
      <c r="J545" s="22" t="s">
        <v>32</v>
      </c>
      <c r="K545" s="10" t="str">
        <f ca="1">DATEDIF('DATA PENDUDUK'!$G545,TODAY(),"Y")&amp; " TAHUN"</f>
        <v>11 TAHUN</v>
      </c>
      <c r="L545" s="24" t="s">
        <v>1303</v>
      </c>
    </row>
    <row r="546" spans="1:12" ht="20.100000000000001" customHeight="1" x14ac:dyDescent="0.25">
      <c r="A546" s="8">
        <f t="shared" si="8"/>
        <v>543</v>
      </c>
      <c r="B546" s="21" t="s">
        <v>1346</v>
      </c>
      <c r="C546" s="21" t="s">
        <v>1347</v>
      </c>
      <c r="D546" s="22" t="s">
        <v>1348</v>
      </c>
      <c r="E546" s="22" t="s">
        <v>671</v>
      </c>
      <c r="F546" s="22" t="s">
        <v>345</v>
      </c>
      <c r="G546" s="23">
        <v>23080</v>
      </c>
      <c r="H546" s="22" t="s">
        <v>35</v>
      </c>
      <c r="I546" s="22" t="s">
        <v>19</v>
      </c>
      <c r="J546" s="22" t="s">
        <v>20</v>
      </c>
      <c r="K546" s="10" t="str">
        <f ca="1">DATEDIF('DATA PENDUDUK'!$G546,TODAY(),"Y")&amp; " TAHUN"</f>
        <v>62 TAHUN</v>
      </c>
      <c r="L546" s="24" t="s">
        <v>1303</v>
      </c>
    </row>
    <row r="547" spans="1:12" ht="20.100000000000001" customHeight="1" x14ac:dyDescent="0.25">
      <c r="A547" s="8">
        <f t="shared" si="8"/>
        <v>544</v>
      </c>
      <c r="B547" s="21" t="s">
        <v>1346</v>
      </c>
      <c r="C547" s="21" t="s">
        <v>1349</v>
      </c>
      <c r="D547" s="22" t="s">
        <v>1350</v>
      </c>
      <c r="E547" s="22" t="s">
        <v>1306</v>
      </c>
      <c r="F547" s="22" t="s">
        <v>1351</v>
      </c>
      <c r="G547" s="23">
        <v>27598</v>
      </c>
      <c r="H547" s="22" t="s">
        <v>35</v>
      </c>
      <c r="I547" s="22" t="s">
        <v>26</v>
      </c>
      <c r="J547" s="22" t="s">
        <v>27</v>
      </c>
      <c r="K547" s="10" t="str">
        <f ca="1">DATEDIF('DATA PENDUDUK'!$G547,TODAY(),"Y")&amp; " TAHUN"</f>
        <v>50 TAHUN</v>
      </c>
      <c r="L547" s="24" t="s">
        <v>1303</v>
      </c>
    </row>
    <row r="548" spans="1:12" ht="20.100000000000001" customHeight="1" x14ac:dyDescent="0.25">
      <c r="A548" s="8">
        <f t="shared" si="8"/>
        <v>545</v>
      </c>
      <c r="B548" s="21" t="s">
        <v>1346</v>
      </c>
      <c r="C548" s="21" t="s">
        <v>1352</v>
      </c>
      <c r="D548" s="22" t="s">
        <v>1353</v>
      </c>
      <c r="E548" s="22" t="s">
        <v>671</v>
      </c>
      <c r="F548" s="22" t="s">
        <v>818</v>
      </c>
      <c r="G548" s="23">
        <v>35084</v>
      </c>
      <c r="H548" s="22" t="s">
        <v>35</v>
      </c>
      <c r="I548" s="22" t="s">
        <v>40</v>
      </c>
      <c r="J548" s="22" t="s">
        <v>32</v>
      </c>
      <c r="K548" s="10" t="str">
        <f ca="1">DATEDIF('DATA PENDUDUK'!$G548,TODAY(),"Y")&amp; " TAHUN"</f>
        <v>29 TAHUN</v>
      </c>
      <c r="L548" s="24" t="s">
        <v>1303</v>
      </c>
    </row>
    <row r="549" spans="1:12" ht="20.100000000000001" customHeight="1" x14ac:dyDescent="0.25">
      <c r="A549" s="8">
        <f t="shared" si="8"/>
        <v>546</v>
      </c>
      <c r="B549" s="21" t="s">
        <v>1346</v>
      </c>
      <c r="C549" s="21" t="s">
        <v>1354</v>
      </c>
      <c r="D549" s="22" t="s">
        <v>1355</v>
      </c>
      <c r="E549" s="22" t="s">
        <v>671</v>
      </c>
      <c r="F549" s="22" t="s">
        <v>134</v>
      </c>
      <c r="G549" s="23">
        <v>36430</v>
      </c>
      <c r="H549" s="22" t="s">
        <v>35</v>
      </c>
      <c r="I549" s="22" t="s">
        <v>40</v>
      </c>
      <c r="J549" s="22" t="s">
        <v>32</v>
      </c>
      <c r="K549" s="10" t="str">
        <f ca="1">DATEDIF('DATA PENDUDUK'!$G549,TODAY(),"Y")&amp; " TAHUN"</f>
        <v>25 TAHUN</v>
      </c>
      <c r="L549" s="24" t="s">
        <v>1303</v>
      </c>
    </row>
    <row r="550" spans="1:12" ht="20.100000000000001" customHeight="1" x14ac:dyDescent="0.25">
      <c r="A550" s="8">
        <f t="shared" si="8"/>
        <v>547</v>
      </c>
      <c r="B550" s="21" t="s">
        <v>1346</v>
      </c>
      <c r="C550" s="21" t="s">
        <v>1356</v>
      </c>
      <c r="D550" s="22" t="s">
        <v>1357</v>
      </c>
      <c r="E550" s="22" t="s">
        <v>671</v>
      </c>
      <c r="F550" s="22" t="s">
        <v>30</v>
      </c>
      <c r="G550" s="23">
        <v>37502</v>
      </c>
      <c r="H550" s="22" t="s">
        <v>35</v>
      </c>
      <c r="I550" s="22" t="s">
        <v>40</v>
      </c>
      <c r="J550" s="22" t="s">
        <v>32</v>
      </c>
      <c r="K550" s="10" t="str">
        <f ca="1">DATEDIF('DATA PENDUDUK'!$G550,TODAY(),"Y")&amp; " TAHUN"</f>
        <v>22 TAHUN</v>
      </c>
      <c r="L550" s="24" t="s">
        <v>1303</v>
      </c>
    </row>
    <row r="551" spans="1:12" ht="20.100000000000001" customHeight="1" x14ac:dyDescent="0.25">
      <c r="A551" s="8">
        <f t="shared" si="8"/>
        <v>548</v>
      </c>
      <c r="B551" s="21" t="s">
        <v>1346</v>
      </c>
      <c r="C551" s="21" t="s">
        <v>1358</v>
      </c>
      <c r="D551" s="22" t="s">
        <v>1359</v>
      </c>
      <c r="E551" s="22" t="s">
        <v>1306</v>
      </c>
      <c r="F551" s="22" t="s">
        <v>1360</v>
      </c>
      <c r="G551" s="23">
        <v>37798</v>
      </c>
      <c r="H551" s="22" t="s">
        <v>35</v>
      </c>
      <c r="I551" s="22" t="s">
        <v>40</v>
      </c>
      <c r="J551" s="22" t="s">
        <v>32</v>
      </c>
      <c r="K551" s="10" t="str">
        <f ca="1">DATEDIF('DATA PENDUDUK'!$G551,TODAY(),"Y")&amp; " TAHUN"</f>
        <v>22 TAHUN</v>
      </c>
      <c r="L551" s="24" t="s">
        <v>1303</v>
      </c>
    </row>
    <row r="552" spans="1:12" ht="20.100000000000001" customHeight="1" x14ac:dyDescent="0.25">
      <c r="A552" s="8">
        <f t="shared" si="8"/>
        <v>549</v>
      </c>
      <c r="B552" s="21" t="s">
        <v>1346</v>
      </c>
      <c r="C552" s="21" t="s">
        <v>1361</v>
      </c>
      <c r="D552" s="22" t="s">
        <v>1362</v>
      </c>
      <c r="E552" s="22" t="s">
        <v>671</v>
      </c>
      <c r="F552" s="22" t="s">
        <v>1360</v>
      </c>
      <c r="G552" s="23">
        <v>40448</v>
      </c>
      <c r="H552" s="22" t="s">
        <v>35</v>
      </c>
      <c r="I552" s="22" t="s">
        <v>31</v>
      </c>
      <c r="J552" s="22" t="s">
        <v>32</v>
      </c>
      <c r="K552" s="10" t="str">
        <f ca="1">DATEDIF('DATA PENDUDUK'!$G552,TODAY(),"Y")&amp; " TAHUN"</f>
        <v>14 TAHUN</v>
      </c>
      <c r="L552" s="24" t="s">
        <v>1303</v>
      </c>
    </row>
    <row r="553" spans="1:12" ht="20.100000000000001" customHeight="1" x14ac:dyDescent="0.25">
      <c r="A553" s="8">
        <f t="shared" si="8"/>
        <v>550</v>
      </c>
      <c r="B553" s="21" t="s">
        <v>1363</v>
      </c>
      <c r="C553" s="21" t="s">
        <v>1364</v>
      </c>
      <c r="D553" s="22" t="s">
        <v>1365</v>
      </c>
      <c r="E553" s="22" t="s">
        <v>671</v>
      </c>
      <c r="F553" s="22" t="s">
        <v>1366</v>
      </c>
      <c r="G553" s="23">
        <v>30892</v>
      </c>
      <c r="H553" s="22" t="s">
        <v>35</v>
      </c>
      <c r="I553" s="22" t="s">
        <v>36</v>
      </c>
      <c r="J553" s="22" t="s">
        <v>20</v>
      </c>
      <c r="K553" s="10" t="str">
        <f ca="1">DATEDIF('DATA PENDUDUK'!$G553,TODAY(),"Y")&amp; " TAHUN"</f>
        <v>40 TAHUN</v>
      </c>
      <c r="L553" s="24" t="s">
        <v>1303</v>
      </c>
    </row>
    <row r="554" spans="1:12" ht="20.100000000000001" customHeight="1" x14ac:dyDescent="0.25">
      <c r="A554" s="8">
        <f t="shared" si="8"/>
        <v>551</v>
      </c>
      <c r="B554" s="21" t="s">
        <v>1363</v>
      </c>
      <c r="C554" s="21" t="s">
        <v>1367</v>
      </c>
      <c r="D554" s="22" t="s">
        <v>1368</v>
      </c>
      <c r="E554" s="22" t="s">
        <v>1306</v>
      </c>
      <c r="F554" s="22" t="s">
        <v>1366</v>
      </c>
      <c r="G554" s="23">
        <v>31589</v>
      </c>
      <c r="H554" s="22" t="s">
        <v>35</v>
      </c>
      <c r="I554" s="22" t="s">
        <v>26</v>
      </c>
      <c r="J554" s="22" t="s">
        <v>27</v>
      </c>
      <c r="K554" s="10" t="str">
        <f ca="1">DATEDIF('DATA PENDUDUK'!$G554,TODAY(),"Y")&amp; " TAHUN"</f>
        <v>39 TAHUN</v>
      </c>
      <c r="L554" s="24" t="s">
        <v>1303</v>
      </c>
    </row>
    <row r="555" spans="1:12" ht="20.100000000000001" customHeight="1" x14ac:dyDescent="0.25">
      <c r="A555" s="8">
        <f t="shared" si="8"/>
        <v>552</v>
      </c>
      <c r="B555" s="21" t="s">
        <v>1363</v>
      </c>
      <c r="C555" s="21" t="s">
        <v>1369</v>
      </c>
      <c r="D555" s="22" t="s">
        <v>1370</v>
      </c>
      <c r="E555" s="22" t="s">
        <v>671</v>
      </c>
      <c r="F555" s="22" t="s">
        <v>1366</v>
      </c>
      <c r="G555" s="23">
        <v>38616</v>
      </c>
      <c r="H555" s="22" t="s">
        <v>35</v>
      </c>
      <c r="I555" s="22" t="s">
        <v>31</v>
      </c>
      <c r="J555" s="22" t="s">
        <v>32</v>
      </c>
      <c r="K555" s="10" t="str">
        <f ca="1">DATEDIF('DATA PENDUDUK'!$G555,TODAY(),"Y")&amp; " TAHUN"</f>
        <v>19 TAHUN</v>
      </c>
      <c r="L555" s="24" t="s">
        <v>1303</v>
      </c>
    </row>
    <row r="556" spans="1:12" ht="20.100000000000001" customHeight="1" x14ac:dyDescent="0.25">
      <c r="A556" s="8">
        <f t="shared" si="8"/>
        <v>553</v>
      </c>
      <c r="B556" s="21" t="s">
        <v>1363</v>
      </c>
      <c r="C556" s="21" t="s">
        <v>1371</v>
      </c>
      <c r="D556" s="22" t="s">
        <v>1372</v>
      </c>
      <c r="E556" s="22" t="s">
        <v>671</v>
      </c>
      <c r="F556" s="22" t="s">
        <v>1366</v>
      </c>
      <c r="G556" s="23">
        <v>40713</v>
      </c>
      <c r="H556" s="22" t="s">
        <v>35</v>
      </c>
      <c r="I556" s="22" t="s">
        <v>31</v>
      </c>
      <c r="J556" s="22" t="s">
        <v>32</v>
      </c>
      <c r="K556" s="10" t="str">
        <f ca="1">DATEDIF('DATA PENDUDUK'!$G556,TODAY(),"Y")&amp; " TAHUN"</f>
        <v>14 TAHUN</v>
      </c>
      <c r="L556" s="24" t="s">
        <v>1303</v>
      </c>
    </row>
    <row r="557" spans="1:12" ht="20.100000000000001" customHeight="1" x14ac:dyDescent="0.25">
      <c r="A557" s="8">
        <f t="shared" si="8"/>
        <v>554</v>
      </c>
      <c r="B557" s="21" t="s">
        <v>1373</v>
      </c>
      <c r="C557" s="21" t="s">
        <v>1374</v>
      </c>
      <c r="D557" s="22" t="s">
        <v>1375</v>
      </c>
      <c r="E557" s="22" t="s">
        <v>671</v>
      </c>
      <c r="F557" s="22" t="s">
        <v>345</v>
      </c>
      <c r="G557" s="23">
        <v>28712</v>
      </c>
      <c r="H557" s="22" t="s">
        <v>35</v>
      </c>
      <c r="I557" s="22" t="s">
        <v>1302</v>
      </c>
      <c r="J557" s="22" t="s">
        <v>20</v>
      </c>
      <c r="K557" s="10" t="str">
        <f ca="1">DATEDIF('DATA PENDUDUK'!$G557,TODAY(),"Y")&amp; " TAHUN"</f>
        <v>46 TAHUN</v>
      </c>
      <c r="L557" s="24" t="s">
        <v>1303</v>
      </c>
    </row>
    <row r="558" spans="1:12" ht="20.100000000000001" customHeight="1" x14ac:dyDescent="0.25">
      <c r="A558" s="8">
        <f t="shared" si="8"/>
        <v>555</v>
      </c>
      <c r="B558" s="21" t="s">
        <v>1373</v>
      </c>
      <c r="C558" s="21" t="s">
        <v>1376</v>
      </c>
      <c r="D558" s="22" t="s">
        <v>1377</v>
      </c>
      <c r="E558" s="22" t="s">
        <v>1306</v>
      </c>
      <c r="F558" s="22" t="s">
        <v>1378</v>
      </c>
      <c r="G558" s="23">
        <v>31925</v>
      </c>
      <c r="H558" s="22" t="s">
        <v>35</v>
      </c>
      <c r="I558" s="22" t="s">
        <v>1302</v>
      </c>
      <c r="J558" s="22" t="s">
        <v>27</v>
      </c>
      <c r="K558" s="10" t="str">
        <f ca="1">DATEDIF('DATA PENDUDUK'!$G558,TODAY(),"Y")&amp; " TAHUN"</f>
        <v>38 TAHUN</v>
      </c>
      <c r="L558" s="24" t="s">
        <v>1303</v>
      </c>
    </row>
    <row r="559" spans="1:12" ht="20.100000000000001" customHeight="1" x14ac:dyDescent="0.25">
      <c r="A559" s="8">
        <f t="shared" si="8"/>
        <v>556</v>
      </c>
      <c r="B559" s="21" t="s">
        <v>1373</v>
      </c>
      <c r="C559" s="21" t="s">
        <v>1379</v>
      </c>
      <c r="D559" s="22" t="s">
        <v>1380</v>
      </c>
      <c r="E559" s="22" t="s">
        <v>1306</v>
      </c>
      <c r="F559" s="22" t="s">
        <v>30</v>
      </c>
      <c r="G559" s="23">
        <v>40747</v>
      </c>
      <c r="H559" s="22" t="s">
        <v>35</v>
      </c>
      <c r="I559" s="22" t="s">
        <v>31</v>
      </c>
      <c r="J559" s="22" t="s">
        <v>32</v>
      </c>
      <c r="K559" s="10" t="str">
        <f ca="1">DATEDIF('DATA PENDUDUK'!$G559,TODAY(),"Y")&amp; " TAHUN"</f>
        <v>14 TAHUN</v>
      </c>
      <c r="L559" s="24" t="s">
        <v>1303</v>
      </c>
    </row>
    <row r="560" spans="1:12" ht="20.100000000000001" customHeight="1" x14ac:dyDescent="0.25">
      <c r="A560" s="8">
        <f t="shared" si="8"/>
        <v>557</v>
      </c>
      <c r="B560" s="21" t="s">
        <v>1373</v>
      </c>
      <c r="C560" s="21" t="s">
        <v>1381</v>
      </c>
      <c r="D560" s="22" t="s">
        <v>1382</v>
      </c>
      <c r="E560" s="22" t="s">
        <v>671</v>
      </c>
      <c r="F560" s="22" t="s">
        <v>30</v>
      </c>
      <c r="G560" s="23">
        <v>41862</v>
      </c>
      <c r="H560" s="22" t="s">
        <v>35</v>
      </c>
      <c r="I560" s="22" t="s">
        <v>31</v>
      </c>
      <c r="J560" s="22" t="s">
        <v>32</v>
      </c>
      <c r="K560" s="10" t="str">
        <f ca="1">DATEDIF('DATA PENDUDUK'!$G560,TODAY(),"Y")&amp; " TAHUN"</f>
        <v>10 TAHUN</v>
      </c>
      <c r="L560" s="24" t="s">
        <v>1303</v>
      </c>
    </row>
    <row r="561" spans="1:12" ht="20.100000000000001" customHeight="1" x14ac:dyDescent="0.25">
      <c r="A561" s="8">
        <f t="shared" si="8"/>
        <v>558</v>
      </c>
      <c r="B561" s="21" t="s">
        <v>1383</v>
      </c>
      <c r="C561" s="21" t="s">
        <v>1384</v>
      </c>
      <c r="D561" s="22" t="s">
        <v>1385</v>
      </c>
      <c r="E561" s="22" t="s">
        <v>1306</v>
      </c>
      <c r="F561" s="22" t="s">
        <v>1386</v>
      </c>
      <c r="G561" s="23">
        <v>29776</v>
      </c>
      <c r="H561" s="22" t="s">
        <v>35</v>
      </c>
      <c r="I561" s="22" t="s">
        <v>26</v>
      </c>
      <c r="J561" s="22" t="s">
        <v>20</v>
      </c>
      <c r="K561" s="10" t="str">
        <f ca="1">DATEDIF('DATA PENDUDUK'!$G561,TODAY(),"Y")&amp; " TAHUN"</f>
        <v>44 TAHUN</v>
      </c>
      <c r="L561" s="24" t="s">
        <v>1303</v>
      </c>
    </row>
    <row r="562" spans="1:12" ht="20.100000000000001" customHeight="1" x14ac:dyDescent="0.25">
      <c r="A562" s="8">
        <f t="shared" si="8"/>
        <v>559</v>
      </c>
      <c r="B562" s="21" t="s">
        <v>1383</v>
      </c>
      <c r="C562" s="21" t="s">
        <v>1387</v>
      </c>
      <c r="D562" s="22" t="s">
        <v>1388</v>
      </c>
      <c r="E562" s="22" t="s">
        <v>671</v>
      </c>
      <c r="F562" s="22" t="s">
        <v>1343</v>
      </c>
      <c r="G562" s="23">
        <v>41452</v>
      </c>
      <c r="H562" s="22" t="s">
        <v>35</v>
      </c>
      <c r="I562" s="22" t="s">
        <v>31</v>
      </c>
      <c r="J562" s="22" t="s">
        <v>32</v>
      </c>
      <c r="K562" s="10" t="str">
        <f ca="1">DATEDIF('DATA PENDUDUK'!$G562,TODAY(),"Y")&amp; " TAHUN"</f>
        <v>12 TAHUN</v>
      </c>
      <c r="L562" s="24" t="s">
        <v>1303</v>
      </c>
    </row>
    <row r="563" spans="1:12" ht="20.100000000000001" customHeight="1" x14ac:dyDescent="0.25">
      <c r="A563" s="8">
        <f t="shared" si="8"/>
        <v>560</v>
      </c>
      <c r="B563" s="21" t="s">
        <v>1389</v>
      </c>
      <c r="C563" s="21" t="s">
        <v>1390</v>
      </c>
      <c r="D563" s="22" t="s">
        <v>1391</v>
      </c>
      <c r="E563" s="22" t="s">
        <v>671</v>
      </c>
      <c r="F563" s="22" t="s">
        <v>1392</v>
      </c>
      <c r="G563" s="23">
        <v>33134</v>
      </c>
      <c r="H563" s="22" t="s">
        <v>35</v>
      </c>
      <c r="I563" s="22" t="s">
        <v>1302</v>
      </c>
      <c r="J563" s="22" t="s">
        <v>20</v>
      </c>
      <c r="K563" s="10" t="str">
        <f ca="1">DATEDIF('DATA PENDUDUK'!$G563,TODAY(),"Y")&amp; " TAHUN"</f>
        <v>34 TAHUN</v>
      </c>
      <c r="L563" s="24" t="s">
        <v>1303</v>
      </c>
    </row>
    <row r="564" spans="1:12" ht="20.100000000000001" customHeight="1" x14ac:dyDescent="0.25">
      <c r="A564" s="8">
        <f t="shared" si="8"/>
        <v>561</v>
      </c>
      <c r="B564" s="21" t="s">
        <v>1389</v>
      </c>
      <c r="C564" s="21" t="s">
        <v>1393</v>
      </c>
      <c r="D564" s="22" t="s">
        <v>1394</v>
      </c>
      <c r="E564" s="22" t="s">
        <v>1306</v>
      </c>
      <c r="F564" s="22" t="s">
        <v>1392</v>
      </c>
      <c r="G564" s="23">
        <v>33565</v>
      </c>
      <c r="H564" s="22" t="s">
        <v>35</v>
      </c>
      <c r="I564" s="22" t="s">
        <v>1302</v>
      </c>
      <c r="J564" s="22" t="s">
        <v>27</v>
      </c>
      <c r="K564" s="10" t="str">
        <f ca="1">DATEDIF('DATA PENDUDUK'!$G564,TODAY(),"Y")&amp; " TAHUN"</f>
        <v>33 TAHUN</v>
      </c>
      <c r="L564" s="24" t="s">
        <v>1303</v>
      </c>
    </row>
    <row r="565" spans="1:12" ht="20.100000000000001" customHeight="1" x14ac:dyDescent="0.25">
      <c r="A565" s="8">
        <f t="shared" si="8"/>
        <v>562</v>
      </c>
      <c r="B565" s="21" t="s">
        <v>1389</v>
      </c>
      <c r="C565" s="21" t="s">
        <v>1395</v>
      </c>
      <c r="D565" s="22" t="s">
        <v>1396</v>
      </c>
      <c r="E565" s="22" t="s">
        <v>1306</v>
      </c>
      <c r="F565" s="22" t="s">
        <v>30</v>
      </c>
      <c r="G565" s="23">
        <v>43552</v>
      </c>
      <c r="H565" s="22" t="s">
        <v>35</v>
      </c>
      <c r="I565" s="22" t="s">
        <v>40</v>
      </c>
      <c r="J565" s="22" t="s">
        <v>32</v>
      </c>
      <c r="K565" s="10" t="str">
        <f ca="1">DATEDIF('DATA PENDUDUK'!$G565,TODAY(),"Y")&amp; " TAHUN"</f>
        <v>6 TAHUN</v>
      </c>
      <c r="L565" s="24" t="s">
        <v>1303</v>
      </c>
    </row>
    <row r="566" spans="1:12" ht="20.100000000000001" customHeight="1" x14ac:dyDescent="0.25">
      <c r="A566" s="8">
        <f t="shared" si="8"/>
        <v>563</v>
      </c>
      <c r="B566" s="21" t="s">
        <v>1397</v>
      </c>
      <c r="C566" s="21" t="s">
        <v>1398</v>
      </c>
      <c r="D566" s="22" t="s">
        <v>1399</v>
      </c>
      <c r="E566" s="22" t="s">
        <v>671</v>
      </c>
      <c r="F566" s="22" t="s">
        <v>524</v>
      </c>
      <c r="G566" s="23">
        <v>22559</v>
      </c>
      <c r="H566" s="22" t="s">
        <v>35</v>
      </c>
      <c r="I566" s="22" t="s">
        <v>36</v>
      </c>
      <c r="J566" s="22" t="s">
        <v>20</v>
      </c>
      <c r="K566" s="10" t="str">
        <f ca="1">DATEDIF('DATA PENDUDUK'!$G566,TODAY(),"Y")&amp; " TAHUN"</f>
        <v>63 TAHUN</v>
      </c>
      <c r="L566" s="24" t="s">
        <v>1303</v>
      </c>
    </row>
    <row r="567" spans="1:12" ht="20.100000000000001" customHeight="1" x14ac:dyDescent="0.25">
      <c r="A567" s="8">
        <f t="shared" si="8"/>
        <v>564</v>
      </c>
      <c r="B567" s="21" t="s">
        <v>1397</v>
      </c>
      <c r="C567" s="21" t="s">
        <v>1400</v>
      </c>
      <c r="D567" s="22" t="s">
        <v>1401</v>
      </c>
      <c r="E567" s="22" t="s">
        <v>1306</v>
      </c>
      <c r="F567" s="22" t="s">
        <v>1402</v>
      </c>
      <c r="G567" s="23">
        <v>22865</v>
      </c>
      <c r="H567" s="22" t="s">
        <v>35</v>
      </c>
      <c r="I567" s="22" t="s">
        <v>26</v>
      </c>
      <c r="J567" s="22" t="s">
        <v>27</v>
      </c>
      <c r="K567" s="10" t="str">
        <f ca="1">DATEDIF('DATA PENDUDUK'!$G567,TODAY(),"Y")&amp; " TAHUN"</f>
        <v>62 TAHUN</v>
      </c>
      <c r="L567" s="24" t="s">
        <v>1303</v>
      </c>
    </row>
    <row r="568" spans="1:12" ht="20.100000000000001" customHeight="1" x14ac:dyDescent="0.25">
      <c r="A568" s="8">
        <f t="shared" si="8"/>
        <v>565</v>
      </c>
      <c r="B568" s="21" t="s">
        <v>1403</v>
      </c>
      <c r="C568" s="21" t="s">
        <v>1404</v>
      </c>
      <c r="D568" s="22" t="s">
        <v>1405</v>
      </c>
      <c r="E568" s="22" t="s">
        <v>671</v>
      </c>
      <c r="F568" s="22" t="s">
        <v>818</v>
      </c>
      <c r="G568" s="23">
        <v>35975</v>
      </c>
      <c r="H568" s="22" t="s">
        <v>35</v>
      </c>
      <c r="I568" s="22" t="s">
        <v>19</v>
      </c>
      <c r="J568" s="22" t="s">
        <v>20</v>
      </c>
      <c r="K568" s="10" t="str">
        <f ca="1">DATEDIF('DATA PENDUDUK'!$G568,TODAY(),"Y")&amp; " TAHUN"</f>
        <v>27 TAHUN</v>
      </c>
      <c r="L568" s="24" t="s">
        <v>1303</v>
      </c>
    </row>
    <row r="569" spans="1:12" ht="20.100000000000001" customHeight="1" x14ac:dyDescent="0.25">
      <c r="A569" s="8">
        <f t="shared" si="8"/>
        <v>566</v>
      </c>
      <c r="B569" s="21" t="s">
        <v>1403</v>
      </c>
      <c r="C569" s="21" t="s">
        <v>1406</v>
      </c>
      <c r="D569" s="22" t="s">
        <v>1407</v>
      </c>
      <c r="E569" s="22" t="s">
        <v>1306</v>
      </c>
      <c r="F569" s="22" t="s">
        <v>1408</v>
      </c>
      <c r="G569" s="23">
        <v>35921</v>
      </c>
      <c r="H569" s="22" t="s">
        <v>35</v>
      </c>
      <c r="I569" s="22" t="s">
        <v>26</v>
      </c>
      <c r="J569" s="22" t="s">
        <v>27</v>
      </c>
      <c r="K569" s="10" t="str">
        <f ca="1">DATEDIF('DATA PENDUDUK'!$G569,TODAY(),"Y")&amp; " TAHUN"</f>
        <v>27 TAHUN</v>
      </c>
      <c r="L569" s="24" t="s">
        <v>1303</v>
      </c>
    </row>
    <row r="570" spans="1:12" ht="20.100000000000001" customHeight="1" x14ac:dyDescent="0.25">
      <c r="A570" s="8">
        <f t="shared" si="8"/>
        <v>567</v>
      </c>
      <c r="B570" s="21" t="s">
        <v>1409</v>
      </c>
      <c r="C570" s="21" t="s">
        <v>1410</v>
      </c>
      <c r="D570" s="25" t="s">
        <v>1411</v>
      </c>
      <c r="E570" s="22" t="s">
        <v>671</v>
      </c>
      <c r="F570" s="22" t="s">
        <v>1412</v>
      </c>
      <c r="G570" s="23">
        <v>37438</v>
      </c>
      <c r="H570" s="22" t="s">
        <v>35</v>
      </c>
      <c r="I570" s="22" t="s">
        <v>19</v>
      </c>
      <c r="J570" s="22" t="s">
        <v>20</v>
      </c>
      <c r="K570" s="10" t="str">
        <f ca="1">DATEDIF('DATA PENDUDUK'!$G570,TODAY(),"Y")&amp; " TAHUN"</f>
        <v>23 TAHUN</v>
      </c>
      <c r="L570" s="24" t="s">
        <v>1303</v>
      </c>
    </row>
    <row r="571" spans="1:12" ht="20.100000000000001" customHeight="1" x14ac:dyDescent="0.25">
      <c r="A571" s="8">
        <f t="shared" si="8"/>
        <v>568</v>
      </c>
      <c r="B571" s="21" t="s">
        <v>1413</v>
      </c>
      <c r="C571" s="21" t="s">
        <v>1414</v>
      </c>
      <c r="D571" s="22" t="s">
        <v>1415</v>
      </c>
      <c r="E571" s="22" t="s">
        <v>671</v>
      </c>
      <c r="F571" s="22" t="s">
        <v>1416</v>
      </c>
      <c r="G571" s="23">
        <v>36030</v>
      </c>
      <c r="H571" s="22" t="s">
        <v>35</v>
      </c>
      <c r="I571" s="22" t="s">
        <v>19</v>
      </c>
      <c r="J571" s="22" t="s">
        <v>20</v>
      </c>
      <c r="K571" s="10" t="str">
        <f ca="1">DATEDIF('DATA PENDUDUK'!$G571,TODAY(),"Y")&amp; " TAHUN"</f>
        <v>26 TAHUN</v>
      </c>
      <c r="L571" s="24" t="s">
        <v>1303</v>
      </c>
    </row>
    <row r="572" spans="1:12" ht="20.100000000000001" customHeight="1" x14ac:dyDescent="0.25">
      <c r="A572" s="8">
        <f t="shared" si="8"/>
        <v>569</v>
      </c>
      <c r="B572" s="21" t="s">
        <v>1417</v>
      </c>
      <c r="C572" s="21" t="s">
        <v>1418</v>
      </c>
      <c r="D572" s="22" t="s">
        <v>1419</v>
      </c>
      <c r="E572" s="22" t="s">
        <v>671</v>
      </c>
      <c r="F572" s="22" t="s">
        <v>1420</v>
      </c>
      <c r="G572" s="23">
        <v>24875</v>
      </c>
      <c r="H572" s="22" t="s">
        <v>35</v>
      </c>
      <c r="I572" s="22" t="s">
        <v>73</v>
      </c>
      <c r="J572" s="22" t="s">
        <v>20</v>
      </c>
      <c r="K572" s="10" t="str">
        <f ca="1">DATEDIF('DATA PENDUDUK'!$G572,TODAY(),"Y")&amp; " TAHUN"</f>
        <v>57 TAHUN</v>
      </c>
      <c r="L572" s="24" t="s">
        <v>1303</v>
      </c>
    </row>
    <row r="573" spans="1:12" ht="20.100000000000001" customHeight="1" x14ac:dyDescent="0.25">
      <c r="A573" s="8">
        <f t="shared" si="8"/>
        <v>570</v>
      </c>
      <c r="B573" s="21" t="s">
        <v>1417</v>
      </c>
      <c r="C573" s="21" t="s">
        <v>1421</v>
      </c>
      <c r="D573" s="22" t="s">
        <v>1422</v>
      </c>
      <c r="E573" s="22" t="s">
        <v>1306</v>
      </c>
      <c r="F573" s="22" t="s">
        <v>1423</v>
      </c>
      <c r="G573" s="23">
        <v>26336</v>
      </c>
      <c r="H573" s="22" t="s">
        <v>35</v>
      </c>
      <c r="I573" s="22" t="s">
        <v>26</v>
      </c>
      <c r="J573" s="22" t="s">
        <v>27</v>
      </c>
      <c r="K573" s="10" t="str">
        <f ca="1">DATEDIF('DATA PENDUDUK'!$G573,TODAY(),"Y")&amp; " TAHUN"</f>
        <v>53 TAHUN</v>
      </c>
      <c r="L573" s="24" t="s">
        <v>1303</v>
      </c>
    </row>
    <row r="574" spans="1:12" ht="20.100000000000001" customHeight="1" x14ac:dyDescent="0.25">
      <c r="A574" s="8">
        <f t="shared" si="8"/>
        <v>571</v>
      </c>
      <c r="B574" s="21" t="s">
        <v>1417</v>
      </c>
      <c r="C574" s="21" t="s">
        <v>1424</v>
      </c>
      <c r="D574" s="22" t="s">
        <v>1425</v>
      </c>
      <c r="E574" s="22" t="s">
        <v>1306</v>
      </c>
      <c r="F574" s="22" t="s">
        <v>1426</v>
      </c>
      <c r="G574" s="23">
        <v>37311</v>
      </c>
      <c r="H574" s="22" t="s">
        <v>35</v>
      </c>
      <c r="I574" s="22" t="s">
        <v>40</v>
      </c>
      <c r="J574" s="22" t="s">
        <v>32</v>
      </c>
      <c r="K574" s="10" t="str">
        <f ca="1">DATEDIF('DATA PENDUDUK'!$G574,TODAY(),"Y")&amp; " TAHUN"</f>
        <v>23 TAHUN</v>
      </c>
      <c r="L574" s="24" t="s">
        <v>1303</v>
      </c>
    </row>
    <row r="575" spans="1:12" ht="20.100000000000001" customHeight="1" x14ac:dyDescent="0.25">
      <c r="A575" s="8">
        <f t="shared" si="8"/>
        <v>572</v>
      </c>
      <c r="B575" s="21" t="s">
        <v>1417</v>
      </c>
      <c r="C575" s="21" t="s">
        <v>1427</v>
      </c>
      <c r="D575" s="22" t="s">
        <v>1428</v>
      </c>
      <c r="E575" s="22" t="s">
        <v>671</v>
      </c>
      <c r="F575" s="22" t="s">
        <v>1429</v>
      </c>
      <c r="G575" s="23">
        <v>38754</v>
      </c>
      <c r="H575" s="22" t="s">
        <v>35</v>
      </c>
      <c r="I575" s="22" t="s">
        <v>31</v>
      </c>
      <c r="J575" s="22" t="s">
        <v>32</v>
      </c>
      <c r="K575" s="10" t="str">
        <f ca="1">DATEDIF('DATA PENDUDUK'!$G575,TODAY(),"Y")&amp; " TAHUN"</f>
        <v>19 TAHUN</v>
      </c>
      <c r="L575" s="24" t="s">
        <v>1303</v>
      </c>
    </row>
    <row r="576" spans="1:12" ht="20.100000000000001" customHeight="1" x14ac:dyDescent="0.25">
      <c r="A576" s="8">
        <f t="shared" si="8"/>
        <v>573</v>
      </c>
      <c r="B576" s="21" t="s">
        <v>1417</v>
      </c>
      <c r="C576" s="21" t="s">
        <v>1430</v>
      </c>
      <c r="D576" s="22" t="s">
        <v>1431</v>
      </c>
      <c r="E576" s="22" t="s">
        <v>1306</v>
      </c>
      <c r="F576" s="22" t="s">
        <v>1423</v>
      </c>
      <c r="G576" s="23">
        <v>16503</v>
      </c>
      <c r="H576" s="22" t="s">
        <v>35</v>
      </c>
      <c r="I576" s="22" t="s">
        <v>40</v>
      </c>
      <c r="J576" s="22" t="s">
        <v>362</v>
      </c>
      <c r="K576" s="10" t="str">
        <f ca="1">DATEDIF('DATA PENDUDUK'!$G576,TODAY(),"Y")&amp; " TAHUN"</f>
        <v>80 TAHUN</v>
      </c>
      <c r="L576" s="24" t="s">
        <v>1303</v>
      </c>
    </row>
    <row r="577" spans="1:12" ht="20.100000000000001" customHeight="1" x14ac:dyDescent="0.25">
      <c r="A577" s="8">
        <f t="shared" si="8"/>
        <v>574</v>
      </c>
      <c r="B577" s="21" t="s">
        <v>1432</v>
      </c>
      <c r="C577" s="21" t="s">
        <v>1433</v>
      </c>
      <c r="D577" s="22" t="s">
        <v>1434</v>
      </c>
      <c r="E577" s="22" t="s">
        <v>671</v>
      </c>
      <c r="F577" s="22" t="s">
        <v>1435</v>
      </c>
      <c r="G577" s="23">
        <v>29568</v>
      </c>
      <c r="H577" s="22" t="s">
        <v>35</v>
      </c>
      <c r="I577" s="22" t="s">
        <v>73</v>
      </c>
      <c r="J577" s="22" t="s">
        <v>20</v>
      </c>
      <c r="K577" s="10" t="str">
        <f ca="1">DATEDIF('DATA PENDUDUK'!$G577,TODAY(),"Y")&amp; " TAHUN"</f>
        <v>44 TAHUN</v>
      </c>
      <c r="L577" s="24" t="s">
        <v>1303</v>
      </c>
    </row>
    <row r="578" spans="1:12" ht="20.100000000000001" customHeight="1" x14ac:dyDescent="0.25">
      <c r="A578" s="8">
        <f t="shared" si="8"/>
        <v>575</v>
      </c>
      <c r="B578" s="21" t="s">
        <v>1432</v>
      </c>
      <c r="C578" s="21" t="s">
        <v>1436</v>
      </c>
      <c r="D578" s="22" t="s">
        <v>1437</v>
      </c>
      <c r="E578" s="22" t="s">
        <v>1306</v>
      </c>
      <c r="F578" s="22" t="s">
        <v>1438</v>
      </c>
      <c r="G578" s="23">
        <v>30021</v>
      </c>
      <c r="H578" s="22" t="s">
        <v>35</v>
      </c>
      <c r="I578" s="22" t="s">
        <v>73</v>
      </c>
      <c r="J578" s="22" t="s">
        <v>27</v>
      </c>
      <c r="K578" s="10" t="str">
        <f ca="1">DATEDIF('DATA PENDUDUK'!$G578,TODAY(),"Y")&amp; " TAHUN"</f>
        <v>43 TAHUN</v>
      </c>
      <c r="L578" s="24" t="s">
        <v>1303</v>
      </c>
    </row>
    <row r="579" spans="1:12" ht="20.100000000000001" customHeight="1" x14ac:dyDescent="0.25">
      <c r="A579" s="8">
        <f t="shared" si="8"/>
        <v>576</v>
      </c>
      <c r="B579" s="21" t="s">
        <v>1432</v>
      </c>
      <c r="C579" s="21" t="s">
        <v>1439</v>
      </c>
      <c r="D579" s="22" t="s">
        <v>1440</v>
      </c>
      <c r="E579" s="22" t="s">
        <v>1306</v>
      </c>
      <c r="F579" s="22" t="s">
        <v>629</v>
      </c>
      <c r="G579" s="23">
        <v>38444</v>
      </c>
      <c r="H579" s="22" t="s">
        <v>35</v>
      </c>
      <c r="I579" s="22" t="s">
        <v>31</v>
      </c>
      <c r="J579" s="22" t="s">
        <v>32</v>
      </c>
      <c r="K579" s="10" t="str">
        <f ca="1">DATEDIF('DATA PENDUDUK'!$G579,TODAY(),"Y")&amp; " TAHUN"</f>
        <v>20 TAHUN</v>
      </c>
      <c r="L579" s="24" t="s">
        <v>1303</v>
      </c>
    </row>
    <row r="580" spans="1:12" ht="20.100000000000001" customHeight="1" x14ac:dyDescent="0.25">
      <c r="A580" s="8">
        <f t="shared" si="8"/>
        <v>577</v>
      </c>
      <c r="B580" s="21" t="s">
        <v>1432</v>
      </c>
      <c r="C580" s="21" t="s">
        <v>1441</v>
      </c>
      <c r="D580" s="22" t="s">
        <v>1442</v>
      </c>
      <c r="E580" s="22" t="s">
        <v>671</v>
      </c>
      <c r="F580" s="22" t="s">
        <v>30</v>
      </c>
      <c r="G580" s="23">
        <v>39289</v>
      </c>
      <c r="H580" s="22" t="s">
        <v>35</v>
      </c>
      <c r="I580" s="22" t="s">
        <v>31</v>
      </c>
      <c r="J580" s="22" t="s">
        <v>32</v>
      </c>
      <c r="K580" s="10" t="str">
        <f ca="1">DATEDIF('DATA PENDUDUK'!$G580,TODAY(),"Y")&amp; " TAHUN"</f>
        <v>17 TAHUN</v>
      </c>
      <c r="L580" s="24" t="s">
        <v>1303</v>
      </c>
    </row>
    <row r="581" spans="1:12" ht="20.100000000000001" customHeight="1" x14ac:dyDescent="0.25">
      <c r="A581" s="8">
        <f t="shared" si="8"/>
        <v>578</v>
      </c>
      <c r="B581" s="21" t="s">
        <v>1432</v>
      </c>
      <c r="C581" s="21" t="s">
        <v>1443</v>
      </c>
      <c r="D581" s="22" t="s">
        <v>1444</v>
      </c>
      <c r="E581" s="22" t="s">
        <v>1306</v>
      </c>
      <c r="F581" s="22" t="s">
        <v>30</v>
      </c>
      <c r="G581" s="23">
        <v>42173</v>
      </c>
      <c r="H581" s="22" t="s">
        <v>35</v>
      </c>
      <c r="I581" s="22" t="s">
        <v>31</v>
      </c>
      <c r="J581" s="22" t="s">
        <v>32</v>
      </c>
      <c r="K581" s="10" t="str">
        <f ca="1">DATEDIF('DATA PENDUDUK'!$G581,TODAY(),"Y")&amp; " TAHUN"</f>
        <v>10 TAHUN</v>
      </c>
      <c r="L581" s="24" t="s">
        <v>1303</v>
      </c>
    </row>
    <row r="582" spans="1:12" ht="20.100000000000001" customHeight="1" x14ac:dyDescent="0.25">
      <c r="A582" s="8">
        <f t="shared" ref="A582:A645" si="9">IF(D582="","",ROW()-3)</f>
        <v>579</v>
      </c>
      <c r="B582" s="21" t="s">
        <v>1432</v>
      </c>
      <c r="C582" s="21" t="s">
        <v>1445</v>
      </c>
      <c r="D582" s="22" t="s">
        <v>1446</v>
      </c>
      <c r="E582" s="22" t="s">
        <v>671</v>
      </c>
      <c r="F582" s="22" t="s">
        <v>1447</v>
      </c>
      <c r="G582" s="23">
        <v>33465</v>
      </c>
      <c r="H582" s="22" t="s">
        <v>35</v>
      </c>
      <c r="I582" s="22" t="s">
        <v>19</v>
      </c>
      <c r="J582" s="22" t="s">
        <v>37</v>
      </c>
      <c r="K582" s="10" t="str">
        <f ca="1">DATEDIF('DATA PENDUDUK'!$G582,TODAY(),"Y")&amp; " TAHUN"</f>
        <v>33 TAHUN</v>
      </c>
      <c r="L582" s="24" t="s">
        <v>1303</v>
      </c>
    </row>
    <row r="583" spans="1:12" ht="20.100000000000001" customHeight="1" x14ac:dyDescent="0.25">
      <c r="A583" s="8">
        <f t="shared" si="9"/>
        <v>580</v>
      </c>
      <c r="B583" s="21" t="s">
        <v>1432</v>
      </c>
      <c r="C583" s="21" t="s">
        <v>1448</v>
      </c>
      <c r="D583" s="22" t="s">
        <v>1449</v>
      </c>
      <c r="E583" s="22" t="s">
        <v>671</v>
      </c>
      <c r="F583" s="22" t="s">
        <v>560</v>
      </c>
      <c r="G583" s="23">
        <v>35899</v>
      </c>
      <c r="H583" s="22" t="s">
        <v>35</v>
      </c>
      <c r="I583" s="22" t="s">
        <v>40</v>
      </c>
      <c r="J583" s="22" t="s">
        <v>37</v>
      </c>
      <c r="K583" s="10" t="str">
        <f ca="1">DATEDIF('DATA PENDUDUK'!$G583,TODAY(),"Y")&amp; " TAHUN"</f>
        <v>27 TAHUN</v>
      </c>
      <c r="L583" s="24" t="s">
        <v>1303</v>
      </c>
    </row>
    <row r="584" spans="1:12" ht="20.100000000000001" customHeight="1" x14ac:dyDescent="0.25">
      <c r="A584" s="8">
        <f t="shared" si="9"/>
        <v>581</v>
      </c>
      <c r="B584" s="21" t="s">
        <v>1432</v>
      </c>
      <c r="C584" s="21" t="s">
        <v>1450</v>
      </c>
      <c r="D584" s="22" t="s">
        <v>1451</v>
      </c>
      <c r="E584" s="22" t="s">
        <v>671</v>
      </c>
      <c r="F584" s="22" t="s">
        <v>1452</v>
      </c>
      <c r="G584" s="23">
        <v>37326</v>
      </c>
      <c r="H584" s="22" t="s">
        <v>35</v>
      </c>
      <c r="I584" s="22" t="s">
        <v>40</v>
      </c>
      <c r="J584" s="22" t="s">
        <v>37</v>
      </c>
      <c r="K584" s="10" t="str">
        <f ca="1">DATEDIF('DATA PENDUDUK'!$G584,TODAY(),"Y")&amp; " TAHUN"</f>
        <v>23 TAHUN</v>
      </c>
      <c r="L584" s="24" t="s">
        <v>1303</v>
      </c>
    </row>
    <row r="585" spans="1:12" ht="20.100000000000001" customHeight="1" x14ac:dyDescent="0.25">
      <c r="A585" s="8">
        <f t="shared" si="9"/>
        <v>582</v>
      </c>
      <c r="B585" s="21" t="s">
        <v>1453</v>
      </c>
      <c r="C585" s="21" t="s">
        <v>1454</v>
      </c>
      <c r="D585" s="22" t="s">
        <v>1455</v>
      </c>
      <c r="E585" s="22" t="s">
        <v>671</v>
      </c>
      <c r="F585" s="22" t="s">
        <v>1456</v>
      </c>
      <c r="G585" s="23">
        <v>25287</v>
      </c>
      <c r="H585" s="22" t="s">
        <v>35</v>
      </c>
      <c r="I585" s="22" t="s">
        <v>19</v>
      </c>
      <c r="J585" s="22" t="s">
        <v>20</v>
      </c>
      <c r="K585" s="10" t="str">
        <f ca="1">DATEDIF('DATA PENDUDUK'!$G585,TODAY(),"Y")&amp; " TAHUN"</f>
        <v>56 TAHUN</v>
      </c>
      <c r="L585" s="24" t="s">
        <v>1303</v>
      </c>
    </row>
    <row r="586" spans="1:12" ht="20.100000000000001" customHeight="1" x14ac:dyDescent="0.25">
      <c r="A586" s="8">
        <f t="shared" si="9"/>
        <v>583</v>
      </c>
      <c r="B586" s="21" t="s">
        <v>1453</v>
      </c>
      <c r="C586" s="21" t="s">
        <v>1457</v>
      </c>
      <c r="D586" s="22" t="s">
        <v>1458</v>
      </c>
      <c r="E586" s="22" t="s">
        <v>1306</v>
      </c>
      <c r="F586" s="22" t="s">
        <v>1452</v>
      </c>
      <c r="G586" s="23">
        <v>26506</v>
      </c>
      <c r="H586" s="22" t="s">
        <v>35</v>
      </c>
      <c r="I586" s="22" t="s">
        <v>26</v>
      </c>
      <c r="J586" s="22" t="s">
        <v>27</v>
      </c>
      <c r="K586" s="10" t="str">
        <f ca="1">DATEDIF('DATA PENDUDUK'!$G586,TODAY(),"Y")&amp; " TAHUN"</f>
        <v>52 TAHUN</v>
      </c>
      <c r="L586" s="24" t="s">
        <v>1303</v>
      </c>
    </row>
    <row r="587" spans="1:12" ht="20.100000000000001" customHeight="1" x14ac:dyDescent="0.25">
      <c r="A587" s="8">
        <f t="shared" si="9"/>
        <v>584</v>
      </c>
      <c r="B587" s="21" t="s">
        <v>1453</v>
      </c>
      <c r="C587" s="21" t="s">
        <v>1459</v>
      </c>
      <c r="D587" s="22" t="s">
        <v>1460</v>
      </c>
      <c r="E587" s="22" t="s">
        <v>671</v>
      </c>
      <c r="F587" s="22" t="s">
        <v>885</v>
      </c>
      <c r="G587" s="23">
        <v>36021</v>
      </c>
      <c r="H587" s="22" t="s">
        <v>35</v>
      </c>
      <c r="I587" s="22" t="s">
        <v>40</v>
      </c>
      <c r="J587" s="22" t="s">
        <v>32</v>
      </c>
      <c r="K587" s="10" t="str">
        <f ca="1">DATEDIF('DATA PENDUDUK'!$G587,TODAY(),"Y")&amp; " TAHUN"</f>
        <v>26 TAHUN</v>
      </c>
      <c r="L587" s="24" t="s">
        <v>1303</v>
      </c>
    </row>
    <row r="588" spans="1:12" ht="20.100000000000001" customHeight="1" x14ac:dyDescent="0.25">
      <c r="A588" s="8">
        <f t="shared" si="9"/>
        <v>585</v>
      </c>
      <c r="B588" s="21" t="s">
        <v>1453</v>
      </c>
      <c r="C588" s="21" t="s">
        <v>1461</v>
      </c>
      <c r="D588" s="22" t="s">
        <v>1462</v>
      </c>
      <c r="E588" s="22" t="s">
        <v>671</v>
      </c>
      <c r="F588" s="22" t="s">
        <v>1456</v>
      </c>
      <c r="G588" s="23">
        <v>36654</v>
      </c>
      <c r="H588" s="22" t="s">
        <v>35</v>
      </c>
      <c r="I588" s="22" t="s">
        <v>40</v>
      </c>
      <c r="J588" s="22" t="s">
        <v>32</v>
      </c>
      <c r="K588" s="10" t="str">
        <f ca="1">DATEDIF('DATA PENDUDUK'!$G588,TODAY(),"Y")&amp; " TAHUN"</f>
        <v>25 TAHUN</v>
      </c>
      <c r="L588" s="24" t="s">
        <v>1303</v>
      </c>
    </row>
    <row r="589" spans="1:12" ht="20.100000000000001" customHeight="1" x14ac:dyDescent="0.25">
      <c r="A589" s="8">
        <f t="shared" si="9"/>
        <v>586</v>
      </c>
      <c r="B589" s="21" t="s">
        <v>1453</v>
      </c>
      <c r="C589" s="21" t="s">
        <v>1463</v>
      </c>
      <c r="D589" s="22" t="s">
        <v>1464</v>
      </c>
      <c r="E589" s="22" t="s">
        <v>1306</v>
      </c>
      <c r="F589" s="22" t="s">
        <v>889</v>
      </c>
      <c r="G589" s="23">
        <v>37223</v>
      </c>
      <c r="H589" s="22" t="s">
        <v>35</v>
      </c>
      <c r="I589" s="22" t="s">
        <v>40</v>
      </c>
      <c r="J589" s="22" t="s">
        <v>32</v>
      </c>
      <c r="K589" s="10" t="str">
        <f ca="1">DATEDIF('DATA PENDUDUK'!$G589,TODAY(),"Y")&amp; " TAHUN"</f>
        <v>23 TAHUN</v>
      </c>
      <c r="L589" s="24" t="s">
        <v>1303</v>
      </c>
    </row>
    <row r="590" spans="1:12" ht="20.100000000000001" customHeight="1" x14ac:dyDescent="0.25">
      <c r="A590" s="8">
        <f t="shared" si="9"/>
        <v>587</v>
      </c>
      <c r="B590" s="21" t="s">
        <v>1453</v>
      </c>
      <c r="C590" s="21" t="s">
        <v>1465</v>
      </c>
      <c r="D590" s="22" t="s">
        <v>1466</v>
      </c>
      <c r="E590" s="22" t="s">
        <v>671</v>
      </c>
      <c r="F590" s="22" t="s">
        <v>30</v>
      </c>
      <c r="G590" s="23">
        <v>37611</v>
      </c>
      <c r="H590" s="22" t="s">
        <v>35</v>
      </c>
      <c r="I590" s="22" t="s">
        <v>40</v>
      </c>
      <c r="J590" s="22" t="s">
        <v>32</v>
      </c>
      <c r="K590" s="10" t="str">
        <f ca="1">DATEDIF('DATA PENDUDUK'!$G590,TODAY(),"Y")&amp; " TAHUN"</f>
        <v>22 TAHUN</v>
      </c>
      <c r="L590" s="24" t="s">
        <v>1303</v>
      </c>
    </row>
    <row r="591" spans="1:12" ht="20.100000000000001" customHeight="1" x14ac:dyDescent="0.25">
      <c r="A591" s="8">
        <f t="shared" si="9"/>
        <v>588</v>
      </c>
      <c r="B591" s="21" t="s">
        <v>1453</v>
      </c>
      <c r="C591" s="21" t="s">
        <v>1467</v>
      </c>
      <c r="D591" s="22" t="s">
        <v>1468</v>
      </c>
      <c r="E591" s="22" t="s">
        <v>671</v>
      </c>
      <c r="F591" s="22" t="s">
        <v>30</v>
      </c>
      <c r="G591" s="23">
        <v>38868</v>
      </c>
      <c r="H591" s="22" t="s">
        <v>35</v>
      </c>
      <c r="I591" s="22" t="s">
        <v>31</v>
      </c>
      <c r="J591" s="22" t="s">
        <v>32</v>
      </c>
      <c r="K591" s="10" t="str">
        <f ca="1">DATEDIF('DATA PENDUDUK'!$G591,TODAY(),"Y")&amp; " TAHUN"</f>
        <v>19 TAHUN</v>
      </c>
      <c r="L591" s="24" t="s">
        <v>1303</v>
      </c>
    </row>
    <row r="592" spans="1:12" ht="20.100000000000001" customHeight="1" x14ac:dyDescent="0.25">
      <c r="A592" s="8">
        <f t="shared" si="9"/>
        <v>589</v>
      </c>
      <c r="B592" s="21" t="s">
        <v>1453</v>
      </c>
      <c r="C592" s="21" t="s">
        <v>1469</v>
      </c>
      <c r="D592" s="22" t="s">
        <v>1470</v>
      </c>
      <c r="E592" s="22" t="s">
        <v>671</v>
      </c>
      <c r="F592" s="22" t="s">
        <v>30</v>
      </c>
      <c r="G592" s="23">
        <v>40239</v>
      </c>
      <c r="H592" s="22" t="s">
        <v>35</v>
      </c>
      <c r="I592" s="22" t="s">
        <v>31</v>
      </c>
      <c r="J592" s="22" t="s">
        <v>32</v>
      </c>
      <c r="K592" s="10" t="str">
        <f ca="1">DATEDIF('DATA PENDUDUK'!$G592,TODAY(),"Y")&amp; " TAHUN"</f>
        <v>15 TAHUN</v>
      </c>
      <c r="L592" s="24" t="s">
        <v>1303</v>
      </c>
    </row>
    <row r="593" spans="1:12" ht="20.100000000000001" customHeight="1" x14ac:dyDescent="0.25">
      <c r="A593" s="8">
        <f t="shared" si="9"/>
        <v>590</v>
      </c>
      <c r="B593" s="21" t="s">
        <v>1471</v>
      </c>
      <c r="C593" s="21" t="s">
        <v>1472</v>
      </c>
      <c r="D593" s="22" t="s">
        <v>1473</v>
      </c>
      <c r="E593" s="22" t="s">
        <v>671</v>
      </c>
      <c r="F593" s="22" t="s">
        <v>110</v>
      </c>
      <c r="G593" s="23">
        <v>33943</v>
      </c>
      <c r="H593" s="22" t="s">
        <v>35</v>
      </c>
      <c r="I593" s="22" t="s">
        <v>1302</v>
      </c>
      <c r="J593" s="22" t="s">
        <v>20</v>
      </c>
      <c r="K593" s="10" t="str">
        <f ca="1">DATEDIF('DATA PENDUDUK'!$G593,TODAY(),"Y")&amp; " TAHUN"</f>
        <v>32 TAHUN</v>
      </c>
      <c r="L593" s="24" t="s">
        <v>1303</v>
      </c>
    </row>
    <row r="594" spans="1:12" ht="20.100000000000001" customHeight="1" x14ac:dyDescent="0.25">
      <c r="A594" s="8">
        <f t="shared" si="9"/>
        <v>591</v>
      </c>
      <c r="B594" s="21" t="s">
        <v>1471</v>
      </c>
      <c r="C594" s="21" t="s">
        <v>1474</v>
      </c>
      <c r="D594" s="22" t="s">
        <v>1475</v>
      </c>
      <c r="E594" s="22" t="s">
        <v>1306</v>
      </c>
      <c r="F594" s="22" t="s">
        <v>1476</v>
      </c>
      <c r="G594" s="23">
        <v>36654</v>
      </c>
      <c r="H594" s="22" t="s">
        <v>35</v>
      </c>
      <c r="I594" s="22" t="s">
        <v>26</v>
      </c>
      <c r="J594" s="22" t="s">
        <v>27</v>
      </c>
      <c r="K594" s="10" t="str">
        <f ca="1">DATEDIF('DATA PENDUDUK'!$G594,TODAY(),"Y")&amp; " TAHUN"</f>
        <v>25 TAHUN</v>
      </c>
      <c r="L594" s="24" t="s">
        <v>1303</v>
      </c>
    </row>
    <row r="595" spans="1:12" ht="20.100000000000001" customHeight="1" x14ac:dyDescent="0.25">
      <c r="A595" s="8">
        <f t="shared" si="9"/>
        <v>592</v>
      </c>
      <c r="B595" s="21" t="s">
        <v>1477</v>
      </c>
      <c r="C595" s="21" t="s">
        <v>1478</v>
      </c>
      <c r="D595" s="22" t="s">
        <v>1479</v>
      </c>
      <c r="E595" s="22" t="s">
        <v>671</v>
      </c>
      <c r="F595" s="22" t="s">
        <v>524</v>
      </c>
      <c r="G595" s="23">
        <v>26947</v>
      </c>
      <c r="H595" s="22" t="s">
        <v>35</v>
      </c>
      <c r="I595" s="22" t="s">
        <v>19</v>
      </c>
      <c r="J595" s="22" t="s">
        <v>20</v>
      </c>
      <c r="K595" s="10" t="str">
        <f ca="1">DATEDIF('DATA PENDUDUK'!$G595,TODAY(),"Y")&amp; " TAHUN"</f>
        <v>51 TAHUN</v>
      </c>
      <c r="L595" s="24" t="s">
        <v>1303</v>
      </c>
    </row>
    <row r="596" spans="1:12" ht="20.100000000000001" customHeight="1" x14ac:dyDescent="0.25">
      <c r="A596" s="8">
        <f t="shared" si="9"/>
        <v>593</v>
      </c>
      <c r="B596" s="21" t="s">
        <v>1477</v>
      </c>
      <c r="C596" s="21" t="s">
        <v>1480</v>
      </c>
      <c r="D596" s="22" t="s">
        <v>1481</v>
      </c>
      <c r="E596" s="22" t="s">
        <v>1306</v>
      </c>
      <c r="F596" s="22" t="s">
        <v>1482</v>
      </c>
      <c r="G596" s="23">
        <v>24097</v>
      </c>
      <c r="H596" s="22" t="s">
        <v>35</v>
      </c>
      <c r="I596" s="22" t="s">
        <v>19</v>
      </c>
      <c r="J596" s="22" t="s">
        <v>27</v>
      </c>
      <c r="K596" s="10" t="str">
        <f ca="1">DATEDIF('DATA PENDUDUK'!$G596,TODAY(),"Y")&amp; " TAHUN"</f>
        <v>59 TAHUN</v>
      </c>
      <c r="L596" s="24" t="s">
        <v>1303</v>
      </c>
    </row>
    <row r="597" spans="1:12" ht="20.100000000000001" customHeight="1" x14ac:dyDescent="0.25">
      <c r="A597" s="8">
        <f t="shared" si="9"/>
        <v>594</v>
      </c>
      <c r="B597" s="21" t="s">
        <v>1477</v>
      </c>
      <c r="C597" s="21" t="s">
        <v>1483</v>
      </c>
      <c r="D597" s="22" t="s">
        <v>1484</v>
      </c>
      <c r="E597" s="22" t="s">
        <v>671</v>
      </c>
      <c r="F597" s="22" t="s">
        <v>524</v>
      </c>
      <c r="G597" s="23">
        <v>37959</v>
      </c>
      <c r="H597" s="22" t="s">
        <v>35</v>
      </c>
      <c r="I597" s="22" t="s">
        <v>40</v>
      </c>
      <c r="J597" s="22" t="s">
        <v>32</v>
      </c>
      <c r="K597" s="10" t="str">
        <f ca="1">DATEDIF('DATA PENDUDUK'!$G597,TODAY(),"Y")&amp; " TAHUN"</f>
        <v>21 TAHUN</v>
      </c>
      <c r="L597" s="24" t="s">
        <v>1303</v>
      </c>
    </row>
    <row r="598" spans="1:12" ht="20.100000000000001" customHeight="1" x14ac:dyDescent="0.25">
      <c r="A598" s="8">
        <f t="shared" si="9"/>
        <v>595</v>
      </c>
      <c r="B598" s="21" t="s">
        <v>1477</v>
      </c>
      <c r="C598" s="21" t="s">
        <v>1485</v>
      </c>
      <c r="D598" s="22" t="s">
        <v>1486</v>
      </c>
      <c r="E598" s="22" t="s">
        <v>1306</v>
      </c>
      <c r="F598" s="22" t="s">
        <v>1487</v>
      </c>
      <c r="G598" s="23">
        <v>40461</v>
      </c>
      <c r="H598" s="22" t="s">
        <v>35</v>
      </c>
      <c r="I598" s="22" t="s">
        <v>31</v>
      </c>
      <c r="J598" s="22" t="s">
        <v>32</v>
      </c>
      <c r="K598" s="10" t="str">
        <f ca="1">DATEDIF('DATA PENDUDUK'!$G598,TODAY(),"Y")&amp; " TAHUN"</f>
        <v>14 TAHUN</v>
      </c>
      <c r="L598" s="24" t="s">
        <v>1303</v>
      </c>
    </row>
    <row r="599" spans="1:12" ht="20.100000000000001" customHeight="1" x14ac:dyDescent="0.25">
      <c r="A599" s="8">
        <f t="shared" si="9"/>
        <v>596</v>
      </c>
      <c r="B599" s="21" t="s">
        <v>1488</v>
      </c>
      <c r="C599" s="21" t="s">
        <v>1489</v>
      </c>
      <c r="D599" s="22" t="s">
        <v>1490</v>
      </c>
      <c r="E599" s="22" t="s">
        <v>671</v>
      </c>
      <c r="F599" s="22" t="s">
        <v>1491</v>
      </c>
      <c r="G599" s="23">
        <v>21184</v>
      </c>
      <c r="H599" s="22" t="s">
        <v>35</v>
      </c>
      <c r="I599" s="22" t="s">
        <v>19</v>
      </c>
      <c r="J599" s="22" t="s">
        <v>20</v>
      </c>
      <c r="K599" s="10" t="str">
        <f ca="1">DATEDIF('DATA PENDUDUK'!$G599,TODAY(),"Y")&amp; " TAHUN"</f>
        <v>67 TAHUN</v>
      </c>
      <c r="L599" s="24" t="s">
        <v>1303</v>
      </c>
    </row>
    <row r="600" spans="1:12" ht="20.100000000000001" customHeight="1" x14ac:dyDescent="0.25">
      <c r="A600" s="8">
        <f t="shared" si="9"/>
        <v>597</v>
      </c>
      <c r="B600" s="21" t="s">
        <v>1488</v>
      </c>
      <c r="C600" s="21" t="s">
        <v>1492</v>
      </c>
      <c r="D600" s="22" t="s">
        <v>1493</v>
      </c>
      <c r="E600" s="22" t="s">
        <v>1306</v>
      </c>
      <c r="F600" s="22" t="s">
        <v>1351</v>
      </c>
      <c r="G600" s="23">
        <v>25914</v>
      </c>
      <c r="H600" s="22" t="s">
        <v>35</v>
      </c>
      <c r="I600" s="22" t="s">
        <v>1302</v>
      </c>
      <c r="J600" s="22" t="s">
        <v>27</v>
      </c>
      <c r="K600" s="10" t="str">
        <f ca="1">DATEDIF('DATA PENDUDUK'!$G600,TODAY(),"Y")&amp; " TAHUN"</f>
        <v>54 TAHUN</v>
      </c>
      <c r="L600" s="24" t="s">
        <v>1303</v>
      </c>
    </row>
    <row r="601" spans="1:12" ht="20.100000000000001" customHeight="1" x14ac:dyDescent="0.25">
      <c r="A601" s="8">
        <f t="shared" si="9"/>
        <v>598</v>
      </c>
      <c r="B601" s="21" t="s">
        <v>1488</v>
      </c>
      <c r="C601" s="21" t="s">
        <v>1494</v>
      </c>
      <c r="D601" s="22" t="s">
        <v>1495</v>
      </c>
      <c r="E601" s="22" t="s">
        <v>671</v>
      </c>
      <c r="F601" s="22" t="s">
        <v>889</v>
      </c>
      <c r="G601" s="23">
        <v>35776</v>
      </c>
      <c r="H601" s="22" t="s">
        <v>35</v>
      </c>
      <c r="I601" s="22" t="s">
        <v>40</v>
      </c>
      <c r="J601" s="22" t="s">
        <v>32</v>
      </c>
      <c r="K601" s="10" t="str">
        <f ca="1">DATEDIF('DATA PENDUDUK'!$G601,TODAY(),"Y")&amp; " TAHUN"</f>
        <v>27 TAHUN</v>
      </c>
      <c r="L601" s="24" t="s">
        <v>1303</v>
      </c>
    </row>
    <row r="602" spans="1:12" ht="20.100000000000001" customHeight="1" x14ac:dyDescent="0.25">
      <c r="A602" s="8">
        <f t="shared" si="9"/>
        <v>599</v>
      </c>
      <c r="B602" s="21" t="s">
        <v>1488</v>
      </c>
      <c r="C602" s="21" t="s">
        <v>1496</v>
      </c>
      <c r="D602" s="22" t="s">
        <v>1497</v>
      </c>
      <c r="E602" s="22" t="s">
        <v>1306</v>
      </c>
      <c r="F602" s="22" t="s">
        <v>818</v>
      </c>
      <c r="G602" s="23">
        <v>36552</v>
      </c>
      <c r="H602" s="22" t="s">
        <v>35</v>
      </c>
      <c r="I602" s="22" t="s">
        <v>40</v>
      </c>
      <c r="J602" s="22" t="s">
        <v>32</v>
      </c>
      <c r="K602" s="10" t="str">
        <f ca="1">DATEDIF('DATA PENDUDUK'!$G602,TODAY(),"Y")&amp; " TAHUN"</f>
        <v>25 TAHUN</v>
      </c>
      <c r="L602" s="24" t="s">
        <v>1303</v>
      </c>
    </row>
    <row r="603" spans="1:12" ht="20.100000000000001" customHeight="1" x14ac:dyDescent="0.25">
      <c r="A603" s="8">
        <f t="shared" si="9"/>
        <v>600</v>
      </c>
      <c r="B603" s="21" t="s">
        <v>1488</v>
      </c>
      <c r="C603" s="21" t="s">
        <v>1498</v>
      </c>
      <c r="D603" s="22" t="s">
        <v>1499</v>
      </c>
      <c r="E603" s="22" t="s">
        <v>1306</v>
      </c>
      <c r="F603" s="22" t="s">
        <v>158</v>
      </c>
      <c r="G603" s="23">
        <v>37538</v>
      </c>
      <c r="H603" s="22" t="s">
        <v>35</v>
      </c>
      <c r="I603" s="22" t="s">
        <v>40</v>
      </c>
      <c r="J603" s="22" t="s">
        <v>32</v>
      </c>
      <c r="K603" s="10" t="str">
        <f ca="1">DATEDIF('DATA PENDUDUK'!$G603,TODAY(),"Y")&amp; " TAHUN"</f>
        <v>22 TAHUN</v>
      </c>
      <c r="L603" s="24" t="s">
        <v>1303</v>
      </c>
    </row>
    <row r="604" spans="1:12" ht="20.100000000000001" customHeight="1" x14ac:dyDescent="0.25">
      <c r="A604" s="8">
        <f t="shared" si="9"/>
        <v>601</v>
      </c>
      <c r="B604" s="21" t="s">
        <v>1488</v>
      </c>
      <c r="C604" s="21" t="s">
        <v>1500</v>
      </c>
      <c r="D604" s="22" t="s">
        <v>1501</v>
      </c>
      <c r="E604" s="22" t="s">
        <v>1306</v>
      </c>
      <c r="F604" s="22" t="s">
        <v>158</v>
      </c>
      <c r="G604" s="23">
        <v>37946</v>
      </c>
      <c r="H604" s="22" t="s">
        <v>35</v>
      </c>
      <c r="I604" s="22" t="s">
        <v>40</v>
      </c>
      <c r="J604" s="22" t="s">
        <v>32</v>
      </c>
      <c r="K604" s="10" t="str">
        <f ca="1">DATEDIF('DATA PENDUDUK'!$G604,TODAY(),"Y")&amp; " TAHUN"</f>
        <v>21 TAHUN</v>
      </c>
      <c r="L604" s="24" t="s">
        <v>1303</v>
      </c>
    </row>
    <row r="605" spans="1:12" ht="20.100000000000001" customHeight="1" x14ac:dyDescent="0.25">
      <c r="A605" s="8">
        <f t="shared" si="9"/>
        <v>602</v>
      </c>
      <c r="B605" s="21" t="s">
        <v>1488</v>
      </c>
      <c r="C605" s="21" t="s">
        <v>1502</v>
      </c>
      <c r="D605" s="22" t="s">
        <v>1503</v>
      </c>
      <c r="E605" s="22" t="s">
        <v>671</v>
      </c>
      <c r="F605" s="22" t="s">
        <v>30</v>
      </c>
      <c r="G605" s="23">
        <v>39303</v>
      </c>
      <c r="H605" s="22" t="s">
        <v>35</v>
      </c>
      <c r="I605" s="22" t="s">
        <v>31</v>
      </c>
      <c r="J605" s="22" t="s">
        <v>32</v>
      </c>
      <c r="K605" s="10" t="str">
        <f ca="1">DATEDIF('DATA PENDUDUK'!$G605,TODAY(),"Y")&amp; " TAHUN"</f>
        <v>17 TAHUN</v>
      </c>
      <c r="L605" s="24" t="s">
        <v>1303</v>
      </c>
    </row>
    <row r="606" spans="1:12" ht="20.100000000000001" customHeight="1" x14ac:dyDescent="0.25">
      <c r="A606" s="8">
        <f t="shared" si="9"/>
        <v>603</v>
      </c>
      <c r="B606" s="21" t="s">
        <v>1488</v>
      </c>
      <c r="C606" s="21" t="s">
        <v>1504</v>
      </c>
      <c r="D606" s="22" t="s">
        <v>1505</v>
      </c>
      <c r="E606" s="22" t="s">
        <v>1306</v>
      </c>
      <c r="F606" s="22" t="s">
        <v>30</v>
      </c>
      <c r="G606" s="23">
        <v>40870</v>
      </c>
      <c r="H606" s="22" t="s">
        <v>35</v>
      </c>
      <c r="I606" s="22" t="s">
        <v>31</v>
      </c>
      <c r="J606" s="22" t="s">
        <v>32</v>
      </c>
      <c r="K606" s="10" t="str">
        <f ca="1">DATEDIF('DATA PENDUDUK'!$G606,TODAY(),"Y")&amp; " TAHUN"</f>
        <v>13 TAHUN</v>
      </c>
      <c r="L606" s="24" t="s">
        <v>1303</v>
      </c>
    </row>
    <row r="607" spans="1:12" ht="20.100000000000001" customHeight="1" x14ac:dyDescent="0.25">
      <c r="A607" s="8">
        <f t="shared" si="9"/>
        <v>604</v>
      </c>
      <c r="B607" s="21" t="s">
        <v>1506</v>
      </c>
      <c r="C607" s="21" t="s">
        <v>1507</v>
      </c>
      <c r="D607" s="22" t="s">
        <v>1508</v>
      </c>
      <c r="E607" s="22" t="s">
        <v>671</v>
      </c>
      <c r="F607" s="22" t="s">
        <v>46</v>
      </c>
      <c r="G607" s="23">
        <v>30444</v>
      </c>
      <c r="H607" s="22" t="s">
        <v>35</v>
      </c>
      <c r="I607" s="22" t="s">
        <v>19</v>
      </c>
      <c r="J607" s="22" t="s">
        <v>20</v>
      </c>
      <c r="K607" s="10" t="str">
        <f ca="1">DATEDIF('DATA PENDUDUK'!$G607,TODAY(),"Y")&amp; " TAHUN"</f>
        <v>42 TAHUN</v>
      </c>
      <c r="L607" s="24" t="s">
        <v>1303</v>
      </c>
    </row>
    <row r="608" spans="1:12" ht="20.100000000000001" customHeight="1" x14ac:dyDescent="0.25">
      <c r="A608" s="8">
        <f t="shared" si="9"/>
        <v>605</v>
      </c>
      <c r="B608" s="21" t="s">
        <v>1509</v>
      </c>
      <c r="C608" s="21" t="s">
        <v>1510</v>
      </c>
      <c r="D608" s="22" t="s">
        <v>1511</v>
      </c>
      <c r="E608" s="22" t="s">
        <v>671</v>
      </c>
      <c r="F608" s="22" t="s">
        <v>524</v>
      </c>
      <c r="G608" s="23">
        <v>26404</v>
      </c>
      <c r="H608" s="22" t="s">
        <v>35</v>
      </c>
      <c r="I608" s="22" t="s">
        <v>1512</v>
      </c>
      <c r="J608" s="22" t="s">
        <v>20</v>
      </c>
      <c r="K608" s="10" t="str">
        <f ca="1">DATEDIF('DATA PENDUDUK'!$G608,TODAY(),"Y")&amp; " TAHUN"</f>
        <v>53 TAHUN</v>
      </c>
      <c r="L608" s="24" t="s">
        <v>1303</v>
      </c>
    </row>
    <row r="609" spans="1:12" ht="20.100000000000001" customHeight="1" x14ac:dyDescent="0.25">
      <c r="A609" s="8">
        <f t="shared" si="9"/>
        <v>606</v>
      </c>
      <c r="B609" s="21" t="s">
        <v>1509</v>
      </c>
      <c r="C609" s="21" t="s">
        <v>1513</v>
      </c>
      <c r="D609" s="22" t="s">
        <v>1514</v>
      </c>
      <c r="E609" s="22" t="s">
        <v>1306</v>
      </c>
      <c r="F609" s="22" t="s">
        <v>170</v>
      </c>
      <c r="G609" s="23">
        <v>28012</v>
      </c>
      <c r="H609" s="22" t="s">
        <v>35</v>
      </c>
      <c r="I609" s="22" t="s">
        <v>19</v>
      </c>
      <c r="J609" s="22" t="s">
        <v>27</v>
      </c>
      <c r="K609" s="10" t="str">
        <f ca="1">DATEDIF('DATA PENDUDUK'!$G609,TODAY(),"Y")&amp; " TAHUN"</f>
        <v>48 TAHUN</v>
      </c>
      <c r="L609" s="24" t="s">
        <v>1303</v>
      </c>
    </row>
    <row r="610" spans="1:12" ht="20.100000000000001" customHeight="1" x14ac:dyDescent="0.25">
      <c r="A610" s="8">
        <f t="shared" si="9"/>
        <v>607</v>
      </c>
      <c r="B610" s="21" t="s">
        <v>1509</v>
      </c>
      <c r="C610" s="21" t="s">
        <v>1515</v>
      </c>
      <c r="D610" s="22" t="s">
        <v>1516</v>
      </c>
      <c r="E610" s="22" t="s">
        <v>1306</v>
      </c>
      <c r="F610" s="22" t="s">
        <v>134</v>
      </c>
      <c r="G610" s="23">
        <v>35243</v>
      </c>
      <c r="H610" s="22" t="s">
        <v>35</v>
      </c>
      <c r="I610" s="22" t="s">
        <v>40</v>
      </c>
      <c r="J610" s="22" t="s">
        <v>32</v>
      </c>
      <c r="K610" s="10" t="str">
        <f ca="1">DATEDIF('DATA PENDUDUK'!$G610,TODAY(),"Y")&amp; " TAHUN"</f>
        <v>29 TAHUN</v>
      </c>
      <c r="L610" s="24" t="s">
        <v>1303</v>
      </c>
    </row>
    <row r="611" spans="1:12" ht="20.100000000000001" customHeight="1" x14ac:dyDescent="0.25">
      <c r="A611" s="8">
        <f t="shared" si="9"/>
        <v>608</v>
      </c>
      <c r="B611" s="21" t="s">
        <v>1509</v>
      </c>
      <c r="C611" s="21" t="s">
        <v>1404</v>
      </c>
      <c r="D611" s="22" t="s">
        <v>1517</v>
      </c>
      <c r="E611" s="22" t="s">
        <v>671</v>
      </c>
      <c r="F611" s="22" t="s">
        <v>818</v>
      </c>
      <c r="G611" s="23">
        <v>35975</v>
      </c>
      <c r="H611" s="22" t="s">
        <v>35</v>
      </c>
      <c r="I611" s="22" t="s">
        <v>40</v>
      </c>
      <c r="J611" s="22" t="s">
        <v>32</v>
      </c>
      <c r="K611" s="10" t="str">
        <f ca="1">DATEDIF('DATA PENDUDUK'!$G611,TODAY(),"Y")&amp; " TAHUN"</f>
        <v>27 TAHUN</v>
      </c>
      <c r="L611" s="24" t="s">
        <v>1303</v>
      </c>
    </row>
    <row r="612" spans="1:12" ht="20.100000000000001" customHeight="1" x14ac:dyDescent="0.25">
      <c r="A612" s="8">
        <f t="shared" si="9"/>
        <v>609</v>
      </c>
      <c r="B612" s="21" t="s">
        <v>1509</v>
      </c>
      <c r="C612" s="21" t="s">
        <v>1518</v>
      </c>
      <c r="D612" s="22" t="s">
        <v>1519</v>
      </c>
      <c r="E612" s="22" t="s">
        <v>671</v>
      </c>
      <c r="F612" s="22" t="s">
        <v>1520</v>
      </c>
      <c r="G612" s="23">
        <v>39198</v>
      </c>
      <c r="H612" s="22" t="s">
        <v>35</v>
      </c>
      <c r="I612" s="22" t="s">
        <v>31</v>
      </c>
      <c r="J612" s="22" t="s">
        <v>32</v>
      </c>
      <c r="K612" s="10" t="str">
        <f ca="1">DATEDIF('DATA PENDUDUK'!$G612,TODAY(),"Y")&amp; " TAHUN"</f>
        <v>18 TAHUN</v>
      </c>
      <c r="L612" s="24" t="s">
        <v>1303</v>
      </c>
    </row>
    <row r="613" spans="1:12" ht="20.100000000000001" customHeight="1" x14ac:dyDescent="0.25">
      <c r="A613" s="8">
        <f t="shared" si="9"/>
        <v>610</v>
      </c>
      <c r="B613" s="21" t="s">
        <v>1509</v>
      </c>
      <c r="C613" s="21" t="s">
        <v>1521</v>
      </c>
      <c r="D613" s="22" t="s">
        <v>1522</v>
      </c>
      <c r="E613" s="22" t="s">
        <v>671</v>
      </c>
      <c r="F613" s="22" t="s">
        <v>1523</v>
      </c>
      <c r="G613" s="23">
        <v>41120</v>
      </c>
      <c r="H613" s="22" t="s">
        <v>35</v>
      </c>
      <c r="I613" s="22" t="s">
        <v>31</v>
      </c>
      <c r="J613" s="22" t="s">
        <v>32</v>
      </c>
      <c r="K613" s="10" t="str">
        <f ca="1">DATEDIF('DATA PENDUDUK'!$G613,TODAY(),"Y")&amp; " TAHUN"</f>
        <v>12 TAHUN</v>
      </c>
      <c r="L613" s="24" t="s">
        <v>1303</v>
      </c>
    </row>
    <row r="614" spans="1:12" ht="20.100000000000001" customHeight="1" x14ac:dyDescent="0.25">
      <c r="A614" s="8">
        <f t="shared" si="9"/>
        <v>611</v>
      </c>
      <c r="B614" s="21" t="s">
        <v>1524</v>
      </c>
      <c r="C614" s="21" t="s">
        <v>1525</v>
      </c>
      <c r="D614" s="22" t="s">
        <v>1526</v>
      </c>
      <c r="E614" s="22" t="s">
        <v>671</v>
      </c>
      <c r="F614" s="22" t="s">
        <v>618</v>
      </c>
      <c r="G614" s="23">
        <v>34663</v>
      </c>
      <c r="H614" s="22" t="s">
        <v>35</v>
      </c>
      <c r="I614" s="22" t="s">
        <v>73</v>
      </c>
      <c r="J614" s="22" t="s">
        <v>20</v>
      </c>
      <c r="K614" s="10" t="str">
        <f ca="1">DATEDIF('DATA PENDUDUK'!$G614,TODAY(),"Y")&amp; " TAHUN"</f>
        <v>30 TAHUN</v>
      </c>
      <c r="L614" s="24" t="s">
        <v>1303</v>
      </c>
    </row>
    <row r="615" spans="1:12" ht="20.100000000000001" customHeight="1" x14ac:dyDescent="0.25">
      <c r="A615" s="8">
        <f t="shared" si="9"/>
        <v>612</v>
      </c>
      <c r="B615" s="21" t="s">
        <v>1524</v>
      </c>
      <c r="C615" s="21" t="s">
        <v>1527</v>
      </c>
      <c r="D615" s="22" t="s">
        <v>1528</v>
      </c>
      <c r="E615" s="22" t="s">
        <v>1306</v>
      </c>
      <c r="F615" s="22" t="s">
        <v>889</v>
      </c>
      <c r="G615" s="23">
        <v>35065</v>
      </c>
      <c r="H615" s="22" t="s">
        <v>35</v>
      </c>
      <c r="I615" s="22" t="s">
        <v>26</v>
      </c>
      <c r="J615" s="22" t="s">
        <v>27</v>
      </c>
      <c r="K615" s="10" t="str">
        <f ca="1">DATEDIF('DATA PENDUDUK'!$G615,TODAY(),"Y")&amp; " TAHUN"</f>
        <v>29 TAHUN</v>
      </c>
      <c r="L615" s="24" t="s">
        <v>1303</v>
      </c>
    </row>
    <row r="616" spans="1:12" ht="20.100000000000001" customHeight="1" x14ac:dyDescent="0.25">
      <c r="A616" s="8">
        <f t="shared" si="9"/>
        <v>613</v>
      </c>
      <c r="B616" s="21" t="s">
        <v>1524</v>
      </c>
      <c r="C616" s="21" t="s">
        <v>1529</v>
      </c>
      <c r="D616" s="22" t="s">
        <v>1530</v>
      </c>
      <c r="E616" s="22" t="s">
        <v>1306</v>
      </c>
      <c r="F616" s="22" t="s">
        <v>30</v>
      </c>
      <c r="G616" s="23">
        <v>43986</v>
      </c>
      <c r="H616" s="22" t="s">
        <v>35</v>
      </c>
      <c r="I616" s="22" t="s">
        <v>40</v>
      </c>
      <c r="J616" s="22" t="s">
        <v>32</v>
      </c>
      <c r="K616" s="10" t="str">
        <f ca="1">DATEDIF('DATA PENDUDUK'!$G616,TODAY(),"Y")&amp; " TAHUN"</f>
        <v>5 TAHUN</v>
      </c>
      <c r="L616" s="24" t="s">
        <v>1303</v>
      </c>
    </row>
    <row r="617" spans="1:12" ht="20.100000000000001" customHeight="1" x14ac:dyDescent="0.25">
      <c r="A617" s="8">
        <f t="shared" si="9"/>
        <v>614</v>
      </c>
      <c r="B617" s="21" t="s">
        <v>1531</v>
      </c>
      <c r="C617" s="21" t="s">
        <v>1532</v>
      </c>
      <c r="D617" s="22" t="s">
        <v>1533</v>
      </c>
      <c r="E617" s="22" t="s">
        <v>671</v>
      </c>
      <c r="F617" s="22" t="s">
        <v>955</v>
      </c>
      <c r="G617" s="23">
        <v>33636</v>
      </c>
      <c r="H617" s="22" t="s">
        <v>438</v>
      </c>
      <c r="I617" s="22" t="s">
        <v>19</v>
      </c>
      <c r="J617" s="22" t="s">
        <v>20</v>
      </c>
      <c r="K617" s="10" t="str">
        <f ca="1">DATEDIF('DATA PENDUDUK'!$G617,TODAY(),"Y")&amp; " TAHUN"</f>
        <v>33 TAHUN</v>
      </c>
      <c r="L617" s="24" t="s">
        <v>1303</v>
      </c>
    </row>
    <row r="618" spans="1:12" ht="20.100000000000001" customHeight="1" x14ac:dyDescent="0.25">
      <c r="A618" s="8">
        <f t="shared" si="9"/>
        <v>615</v>
      </c>
      <c r="B618" s="21" t="s">
        <v>1531</v>
      </c>
      <c r="C618" s="21" t="s">
        <v>1534</v>
      </c>
      <c r="D618" s="22" t="s">
        <v>1535</v>
      </c>
      <c r="E618" s="22" t="s">
        <v>1306</v>
      </c>
      <c r="F618" s="22" t="s">
        <v>863</v>
      </c>
      <c r="G618" s="23">
        <v>29236</v>
      </c>
      <c r="H618" s="22" t="s">
        <v>438</v>
      </c>
      <c r="I618" s="22" t="s">
        <v>26</v>
      </c>
      <c r="J618" s="22" t="s">
        <v>27</v>
      </c>
      <c r="K618" s="10" t="str">
        <f ca="1">DATEDIF('DATA PENDUDUK'!$G618,TODAY(),"Y")&amp; " TAHUN"</f>
        <v>45 TAHUN</v>
      </c>
      <c r="L618" s="24" t="s">
        <v>1303</v>
      </c>
    </row>
    <row r="619" spans="1:12" ht="20.100000000000001" customHeight="1" x14ac:dyDescent="0.25">
      <c r="A619" s="8">
        <f t="shared" si="9"/>
        <v>616</v>
      </c>
      <c r="B619" s="21" t="s">
        <v>1531</v>
      </c>
      <c r="C619" s="21" t="s">
        <v>1536</v>
      </c>
      <c r="D619" s="22" t="s">
        <v>1537</v>
      </c>
      <c r="E619" s="22" t="s">
        <v>1306</v>
      </c>
      <c r="F619" s="22" t="s">
        <v>863</v>
      </c>
      <c r="G619" s="23">
        <v>39576</v>
      </c>
      <c r="H619" s="22" t="s">
        <v>438</v>
      </c>
      <c r="I619" s="22" t="s">
        <v>31</v>
      </c>
      <c r="J619" s="22" t="s">
        <v>32</v>
      </c>
      <c r="K619" s="10" t="str">
        <f ca="1">DATEDIF('DATA PENDUDUK'!$G619,TODAY(),"Y")&amp; " TAHUN"</f>
        <v>17 TAHUN</v>
      </c>
      <c r="L619" s="24" t="s">
        <v>1303</v>
      </c>
    </row>
    <row r="620" spans="1:12" ht="20.100000000000001" customHeight="1" x14ac:dyDescent="0.25">
      <c r="A620" s="8">
        <f t="shared" si="9"/>
        <v>617</v>
      </c>
      <c r="B620" s="21" t="s">
        <v>1531</v>
      </c>
      <c r="C620" s="21" t="s">
        <v>1538</v>
      </c>
      <c r="D620" s="22" t="s">
        <v>1539</v>
      </c>
      <c r="E620" s="22" t="s">
        <v>671</v>
      </c>
      <c r="F620" s="22" t="s">
        <v>1540</v>
      </c>
      <c r="G620" s="23">
        <v>41102</v>
      </c>
      <c r="H620" s="22" t="s">
        <v>438</v>
      </c>
      <c r="I620" s="22" t="s">
        <v>31</v>
      </c>
      <c r="J620" s="22" t="s">
        <v>32</v>
      </c>
      <c r="K620" s="10" t="str">
        <f ca="1">DATEDIF('DATA PENDUDUK'!$G620,TODAY(),"Y")&amp; " TAHUN"</f>
        <v>13 TAHUN</v>
      </c>
      <c r="L620" s="24" t="s">
        <v>1303</v>
      </c>
    </row>
    <row r="621" spans="1:12" ht="20.100000000000001" customHeight="1" x14ac:dyDescent="0.25">
      <c r="A621" s="8">
        <f t="shared" si="9"/>
        <v>618</v>
      </c>
      <c r="B621" s="21" t="s">
        <v>1531</v>
      </c>
      <c r="C621" s="21" t="s">
        <v>1541</v>
      </c>
      <c r="D621" s="22" t="s">
        <v>1542</v>
      </c>
      <c r="E621" s="22" t="s">
        <v>671</v>
      </c>
      <c r="F621" s="22" t="s">
        <v>30</v>
      </c>
      <c r="G621" s="23">
        <v>42649</v>
      </c>
      <c r="H621" s="22" t="s">
        <v>438</v>
      </c>
      <c r="I621" s="22" t="s">
        <v>31</v>
      </c>
      <c r="J621" s="22" t="s">
        <v>32</v>
      </c>
      <c r="K621" s="10" t="str">
        <f ca="1">DATEDIF('DATA PENDUDUK'!$G621,TODAY(),"Y")&amp; " TAHUN"</f>
        <v>8 TAHUN</v>
      </c>
      <c r="L621" s="24" t="s">
        <v>1303</v>
      </c>
    </row>
    <row r="622" spans="1:12" ht="20.100000000000001" customHeight="1" x14ac:dyDescent="0.25">
      <c r="A622" s="8">
        <f t="shared" si="9"/>
        <v>619</v>
      </c>
      <c r="B622" s="21" t="s">
        <v>1531</v>
      </c>
      <c r="C622" s="21" t="s">
        <v>1543</v>
      </c>
      <c r="D622" s="22" t="s">
        <v>1544</v>
      </c>
      <c r="E622" s="22" t="s">
        <v>1306</v>
      </c>
      <c r="F622" s="22" t="s">
        <v>30</v>
      </c>
      <c r="G622" s="23">
        <v>42819</v>
      </c>
      <c r="H622" s="22" t="s">
        <v>438</v>
      </c>
      <c r="I622" s="22" t="s">
        <v>31</v>
      </c>
      <c r="J622" s="22" t="s">
        <v>32</v>
      </c>
      <c r="K622" s="10" t="str">
        <f ca="1">DATEDIF('DATA PENDUDUK'!$G622,TODAY(),"Y")&amp; " TAHUN"</f>
        <v>8 TAHUN</v>
      </c>
      <c r="L622" s="24" t="s">
        <v>1303</v>
      </c>
    </row>
    <row r="623" spans="1:12" ht="20.100000000000001" customHeight="1" x14ac:dyDescent="0.25">
      <c r="A623" s="8">
        <f t="shared" si="9"/>
        <v>620</v>
      </c>
      <c r="B623" s="21" t="s">
        <v>1531</v>
      </c>
      <c r="C623" s="21" t="s">
        <v>1545</v>
      </c>
      <c r="D623" s="22" t="s">
        <v>1546</v>
      </c>
      <c r="E623" s="22" t="s">
        <v>1306</v>
      </c>
      <c r="F623" s="22" t="s">
        <v>30</v>
      </c>
      <c r="G623" s="23">
        <v>42819</v>
      </c>
      <c r="H623" s="22" t="s">
        <v>438</v>
      </c>
      <c r="I623" s="22" t="s">
        <v>31</v>
      </c>
      <c r="J623" s="22" t="s">
        <v>32</v>
      </c>
      <c r="K623" s="10" t="str">
        <f ca="1">DATEDIF('DATA PENDUDUK'!$G623,TODAY(),"Y")&amp; " TAHUN"</f>
        <v>8 TAHUN</v>
      </c>
      <c r="L623" s="24" t="s">
        <v>1303</v>
      </c>
    </row>
    <row r="624" spans="1:12" ht="20.100000000000001" customHeight="1" x14ac:dyDescent="0.25">
      <c r="A624" s="8">
        <f t="shared" si="9"/>
        <v>621</v>
      </c>
      <c r="B624" s="21" t="s">
        <v>1547</v>
      </c>
      <c r="C624" s="21" t="s">
        <v>1548</v>
      </c>
      <c r="D624" s="22" t="s">
        <v>1549</v>
      </c>
      <c r="E624" s="22" t="s">
        <v>671</v>
      </c>
      <c r="F624" s="22" t="s">
        <v>1073</v>
      </c>
      <c r="G624" s="23">
        <v>27863</v>
      </c>
      <c r="H624" s="22" t="s">
        <v>438</v>
      </c>
      <c r="I624" s="22" t="s">
        <v>36</v>
      </c>
      <c r="J624" s="22" t="s">
        <v>20</v>
      </c>
      <c r="K624" s="10" t="str">
        <f ca="1">DATEDIF('DATA PENDUDUK'!$G624,TODAY(),"Y")&amp; " TAHUN"</f>
        <v>49 TAHUN</v>
      </c>
      <c r="L624" s="24" t="s">
        <v>1303</v>
      </c>
    </row>
    <row r="625" spans="1:12" ht="20.100000000000001" customHeight="1" x14ac:dyDescent="0.25">
      <c r="A625" s="8">
        <f t="shared" si="9"/>
        <v>622</v>
      </c>
      <c r="B625" s="21" t="s">
        <v>1547</v>
      </c>
      <c r="C625" s="21" t="s">
        <v>1550</v>
      </c>
      <c r="D625" s="22" t="s">
        <v>1551</v>
      </c>
      <c r="E625" s="22" t="s">
        <v>1306</v>
      </c>
      <c r="F625" s="22" t="s">
        <v>1552</v>
      </c>
      <c r="G625" s="23">
        <v>29413</v>
      </c>
      <c r="H625" s="22" t="s">
        <v>438</v>
      </c>
      <c r="I625" s="22" t="s">
        <v>26</v>
      </c>
      <c r="J625" s="22" t="s">
        <v>27</v>
      </c>
      <c r="K625" s="10" t="str">
        <f ca="1">DATEDIF('DATA PENDUDUK'!$G625,TODAY(),"Y")&amp; " TAHUN"</f>
        <v>45 TAHUN</v>
      </c>
      <c r="L625" s="24" t="s">
        <v>1303</v>
      </c>
    </row>
    <row r="626" spans="1:12" ht="20.100000000000001" customHeight="1" x14ac:dyDescent="0.25">
      <c r="A626" s="8">
        <f t="shared" si="9"/>
        <v>623</v>
      </c>
      <c r="B626" s="21" t="s">
        <v>1547</v>
      </c>
      <c r="C626" s="21" t="s">
        <v>1553</v>
      </c>
      <c r="D626" s="22" t="s">
        <v>1554</v>
      </c>
      <c r="E626" s="22" t="s">
        <v>671</v>
      </c>
      <c r="F626" s="22" t="s">
        <v>30</v>
      </c>
      <c r="G626" s="23">
        <v>36054</v>
      </c>
      <c r="H626" s="22" t="s">
        <v>438</v>
      </c>
      <c r="I626" s="22" t="s">
        <v>40</v>
      </c>
      <c r="J626" s="22" t="s">
        <v>32</v>
      </c>
      <c r="K626" s="10" t="str">
        <f ca="1">DATEDIF('DATA PENDUDUK'!$G626,TODAY(),"Y")&amp; " TAHUN"</f>
        <v>26 TAHUN</v>
      </c>
      <c r="L626" s="24" t="s">
        <v>1303</v>
      </c>
    </row>
    <row r="627" spans="1:12" ht="20.100000000000001" customHeight="1" x14ac:dyDescent="0.25">
      <c r="A627" s="8">
        <f t="shared" si="9"/>
        <v>624</v>
      </c>
      <c r="B627" s="21" t="s">
        <v>1547</v>
      </c>
      <c r="C627" s="21" t="s">
        <v>1555</v>
      </c>
      <c r="D627" s="22" t="s">
        <v>1556</v>
      </c>
      <c r="E627" s="22" t="s">
        <v>1306</v>
      </c>
      <c r="F627" s="22" t="s">
        <v>1073</v>
      </c>
      <c r="G627" s="23">
        <v>36960</v>
      </c>
      <c r="H627" s="22" t="s">
        <v>438</v>
      </c>
      <c r="I627" s="22" t="s">
        <v>40</v>
      </c>
      <c r="J627" s="22" t="s">
        <v>32</v>
      </c>
      <c r="K627" s="10" t="str">
        <f ca="1">DATEDIF('DATA PENDUDUK'!$G627,TODAY(),"Y")&amp; " TAHUN"</f>
        <v>24 TAHUN</v>
      </c>
      <c r="L627" s="24" t="s">
        <v>1303</v>
      </c>
    </row>
    <row r="628" spans="1:12" ht="20.100000000000001" customHeight="1" x14ac:dyDescent="0.25">
      <c r="A628" s="8">
        <f t="shared" si="9"/>
        <v>625</v>
      </c>
      <c r="B628" s="21" t="s">
        <v>1547</v>
      </c>
      <c r="C628" s="21" t="s">
        <v>1557</v>
      </c>
      <c r="D628" s="22" t="s">
        <v>1558</v>
      </c>
      <c r="E628" s="22" t="s">
        <v>671</v>
      </c>
      <c r="F628" s="22" t="s">
        <v>1073</v>
      </c>
      <c r="G628" s="23">
        <v>37932</v>
      </c>
      <c r="H628" s="22" t="s">
        <v>438</v>
      </c>
      <c r="I628" s="22" t="s">
        <v>40</v>
      </c>
      <c r="J628" s="22" t="s">
        <v>32</v>
      </c>
      <c r="K628" s="10" t="str">
        <f ca="1">DATEDIF('DATA PENDUDUK'!$G628,TODAY(),"Y")&amp; " TAHUN"</f>
        <v>21 TAHUN</v>
      </c>
      <c r="L628" s="24" t="s">
        <v>1303</v>
      </c>
    </row>
    <row r="629" spans="1:12" ht="20.100000000000001" customHeight="1" x14ac:dyDescent="0.25">
      <c r="A629" s="8">
        <f t="shared" si="9"/>
        <v>626</v>
      </c>
      <c r="B629" s="21" t="s">
        <v>1547</v>
      </c>
      <c r="C629" s="21" t="s">
        <v>1559</v>
      </c>
      <c r="D629" s="22" t="s">
        <v>1560</v>
      </c>
      <c r="E629" s="22" t="s">
        <v>1306</v>
      </c>
      <c r="F629" s="22" t="s">
        <v>1073</v>
      </c>
      <c r="G629" s="23">
        <v>39734</v>
      </c>
      <c r="H629" s="22" t="s">
        <v>438</v>
      </c>
      <c r="I629" s="22" t="s">
        <v>31</v>
      </c>
      <c r="J629" s="22" t="s">
        <v>32</v>
      </c>
      <c r="K629" s="10" t="str">
        <f ca="1">DATEDIF('DATA PENDUDUK'!$G629,TODAY(),"Y")&amp; " TAHUN"</f>
        <v>16 TAHUN</v>
      </c>
      <c r="L629" s="24" t="s">
        <v>1303</v>
      </c>
    </row>
    <row r="630" spans="1:12" ht="20.100000000000001" customHeight="1" x14ac:dyDescent="0.25">
      <c r="A630" s="8">
        <f t="shared" si="9"/>
        <v>627</v>
      </c>
      <c r="B630" s="21" t="s">
        <v>1547</v>
      </c>
      <c r="C630" s="21" t="s">
        <v>1561</v>
      </c>
      <c r="D630" s="22" t="s">
        <v>1562</v>
      </c>
      <c r="E630" s="22" t="s">
        <v>1306</v>
      </c>
      <c r="F630" s="22" t="s">
        <v>1073</v>
      </c>
      <c r="G630" s="23">
        <v>40947</v>
      </c>
      <c r="H630" s="22" t="s">
        <v>438</v>
      </c>
      <c r="I630" s="22" t="s">
        <v>31</v>
      </c>
      <c r="J630" s="22" t="s">
        <v>32</v>
      </c>
      <c r="K630" s="10" t="str">
        <f ca="1">DATEDIF('DATA PENDUDUK'!$G630,TODAY(),"Y")&amp; " TAHUN"</f>
        <v>13 TAHUN</v>
      </c>
      <c r="L630" s="24" t="s">
        <v>1303</v>
      </c>
    </row>
    <row r="631" spans="1:12" ht="20.100000000000001" customHeight="1" x14ac:dyDescent="0.25">
      <c r="A631" s="8">
        <f t="shared" si="9"/>
        <v>628</v>
      </c>
      <c r="B631" s="21" t="s">
        <v>1547</v>
      </c>
      <c r="C631" s="21" t="s">
        <v>1563</v>
      </c>
      <c r="D631" s="22" t="s">
        <v>1564</v>
      </c>
      <c r="E631" s="22" t="s">
        <v>671</v>
      </c>
      <c r="F631" s="22" t="s">
        <v>1073</v>
      </c>
      <c r="G631" s="23">
        <v>42277</v>
      </c>
      <c r="H631" s="22" t="s">
        <v>438</v>
      </c>
      <c r="I631" s="22" t="s">
        <v>31</v>
      </c>
      <c r="J631" s="22" t="s">
        <v>32</v>
      </c>
      <c r="K631" s="10" t="str">
        <f ca="1">DATEDIF('DATA PENDUDUK'!$G631,TODAY(),"Y")&amp; " TAHUN"</f>
        <v>9 TAHUN</v>
      </c>
      <c r="L631" s="24" t="s">
        <v>1303</v>
      </c>
    </row>
    <row r="632" spans="1:12" ht="20.100000000000001" customHeight="1" x14ac:dyDescent="0.25">
      <c r="A632" s="8">
        <f t="shared" si="9"/>
        <v>629</v>
      </c>
      <c r="B632" s="21" t="s">
        <v>1565</v>
      </c>
      <c r="C632" s="21" t="s">
        <v>1566</v>
      </c>
      <c r="D632" s="22" t="s">
        <v>1567</v>
      </c>
      <c r="E632" s="22" t="s">
        <v>671</v>
      </c>
      <c r="F632" s="22" t="s">
        <v>1568</v>
      </c>
      <c r="G632" s="23">
        <v>37044</v>
      </c>
      <c r="H632" s="22" t="s">
        <v>35</v>
      </c>
      <c r="I632" s="22" t="s">
        <v>19</v>
      </c>
      <c r="J632" s="22" t="s">
        <v>20</v>
      </c>
      <c r="K632" s="10" t="str">
        <f ca="1">DATEDIF('DATA PENDUDUK'!$G632,TODAY(),"Y")&amp; " TAHUN"</f>
        <v>24 TAHUN</v>
      </c>
      <c r="L632" s="24" t="s">
        <v>1303</v>
      </c>
    </row>
    <row r="633" spans="1:12" ht="20.100000000000001" customHeight="1" x14ac:dyDescent="0.25">
      <c r="A633" s="8">
        <f t="shared" si="9"/>
        <v>630</v>
      </c>
      <c r="B633" s="21" t="s">
        <v>1565</v>
      </c>
      <c r="C633" s="21" t="s">
        <v>1569</v>
      </c>
      <c r="D633" s="22" t="s">
        <v>1570</v>
      </c>
      <c r="E633" s="22" t="s">
        <v>671</v>
      </c>
      <c r="F633" s="22" t="s">
        <v>1571</v>
      </c>
      <c r="G633" s="23">
        <v>37256</v>
      </c>
      <c r="H633" s="22" t="s">
        <v>35</v>
      </c>
      <c r="I633" s="22" t="s">
        <v>19</v>
      </c>
      <c r="J633" s="22" t="s">
        <v>37</v>
      </c>
      <c r="K633" s="10" t="str">
        <f ca="1">DATEDIF('DATA PENDUDUK'!$G633,TODAY(),"Y")&amp; " TAHUN"</f>
        <v>23 TAHUN</v>
      </c>
      <c r="L633" s="24" t="s">
        <v>1303</v>
      </c>
    </row>
    <row r="634" spans="1:12" ht="20.100000000000001" customHeight="1" x14ac:dyDescent="0.25">
      <c r="A634" s="8">
        <f t="shared" si="9"/>
        <v>631</v>
      </c>
      <c r="B634" s="21" t="s">
        <v>1565</v>
      </c>
      <c r="C634" s="21" t="s">
        <v>1572</v>
      </c>
      <c r="D634" s="22" t="s">
        <v>1573</v>
      </c>
      <c r="E634" s="22" t="s">
        <v>1306</v>
      </c>
      <c r="F634" s="22" t="s">
        <v>1452</v>
      </c>
      <c r="G634" s="23">
        <v>37515</v>
      </c>
      <c r="H634" s="22" t="s">
        <v>35</v>
      </c>
      <c r="I634" s="22" t="s">
        <v>40</v>
      </c>
      <c r="J634" s="22" t="s">
        <v>37</v>
      </c>
      <c r="K634" s="10" t="str">
        <f ca="1">DATEDIF('DATA PENDUDUK'!$G634,TODAY(),"Y")&amp; " TAHUN"</f>
        <v>22 TAHUN</v>
      </c>
      <c r="L634" s="24" t="s">
        <v>1303</v>
      </c>
    </row>
    <row r="635" spans="1:12" ht="20.100000000000001" customHeight="1" x14ac:dyDescent="0.25">
      <c r="A635" s="8">
        <f t="shared" si="9"/>
        <v>632</v>
      </c>
      <c r="B635" s="21" t="s">
        <v>1574</v>
      </c>
      <c r="C635" s="21" t="s">
        <v>1575</v>
      </c>
      <c r="D635" s="22" t="s">
        <v>1576</v>
      </c>
      <c r="E635" s="22" t="s">
        <v>671</v>
      </c>
      <c r="F635" s="22" t="s">
        <v>1577</v>
      </c>
      <c r="G635" s="23">
        <v>22749</v>
      </c>
      <c r="H635" s="22" t="s">
        <v>35</v>
      </c>
      <c r="I635" s="22" t="s">
        <v>1578</v>
      </c>
      <c r="J635" s="22" t="s">
        <v>20</v>
      </c>
      <c r="K635" s="10" t="str">
        <f ca="1">DATEDIF('DATA PENDUDUK'!$G635,TODAY(),"Y")&amp; " TAHUN"</f>
        <v>63 TAHUN</v>
      </c>
      <c r="L635" s="24" t="s">
        <v>1303</v>
      </c>
    </row>
    <row r="636" spans="1:12" ht="20.100000000000001" customHeight="1" x14ac:dyDescent="0.25">
      <c r="A636" s="8">
        <f t="shared" si="9"/>
        <v>633</v>
      </c>
      <c r="B636" s="21" t="s">
        <v>1574</v>
      </c>
      <c r="C636" s="21" t="s">
        <v>1579</v>
      </c>
      <c r="D636" s="22" t="s">
        <v>1580</v>
      </c>
      <c r="E636" s="22" t="s">
        <v>1306</v>
      </c>
      <c r="F636" s="22" t="s">
        <v>87</v>
      </c>
      <c r="G636" s="23">
        <v>28855</v>
      </c>
      <c r="H636" s="22" t="s">
        <v>35</v>
      </c>
      <c r="I636" s="22" t="s">
        <v>26</v>
      </c>
      <c r="J636" s="22" t="s">
        <v>27</v>
      </c>
      <c r="K636" s="10" t="str">
        <f ca="1">DATEDIF('DATA PENDUDUK'!$G636,TODAY(),"Y")&amp; " TAHUN"</f>
        <v>46 TAHUN</v>
      </c>
      <c r="L636" s="24" t="s">
        <v>1303</v>
      </c>
    </row>
    <row r="637" spans="1:12" ht="20.100000000000001" customHeight="1" x14ac:dyDescent="0.25">
      <c r="A637" s="8">
        <f t="shared" si="9"/>
        <v>634</v>
      </c>
      <c r="B637" s="21" t="s">
        <v>1574</v>
      </c>
      <c r="C637" s="21" t="s">
        <v>1581</v>
      </c>
      <c r="D637" s="22" t="s">
        <v>1582</v>
      </c>
      <c r="E637" s="22" t="s">
        <v>671</v>
      </c>
      <c r="F637" s="22" t="s">
        <v>889</v>
      </c>
      <c r="G637" s="23">
        <v>31530</v>
      </c>
      <c r="H637" s="22" t="s">
        <v>35</v>
      </c>
      <c r="I637" s="22" t="s">
        <v>40</v>
      </c>
      <c r="J637" s="22" t="s">
        <v>32</v>
      </c>
      <c r="K637" s="10" t="str">
        <f ca="1">DATEDIF('DATA PENDUDUK'!$G637,TODAY(),"Y")&amp; " TAHUN"</f>
        <v>39 TAHUN</v>
      </c>
      <c r="L637" s="24" t="s">
        <v>1303</v>
      </c>
    </row>
    <row r="638" spans="1:12" ht="20.100000000000001" customHeight="1" x14ac:dyDescent="0.25">
      <c r="A638" s="8">
        <f t="shared" si="9"/>
        <v>635</v>
      </c>
      <c r="B638" s="21" t="s">
        <v>1574</v>
      </c>
      <c r="C638" s="21" t="s">
        <v>1583</v>
      </c>
      <c r="D638" s="22" t="s">
        <v>1584</v>
      </c>
      <c r="E638" s="22" t="s">
        <v>1306</v>
      </c>
      <c r="F638" s="22" t="s">
        <v>30</v>
      </c>
      <c r="G638" s="23">
        <v>37556</v>
      </c>
      <c r="H638" s="22" t="s">
        <v>35</v>
      </c>
      <c r="I638" s="22" t="s">
        <v>40</v>
      </c>
      <c r="J638" s="22" t="s">
        <v>32</v>
      </c>
      <c r="K638" s="10" t="str">
        <f ca="1">DATEDIF('DATA PENDUDUK'!$G638,TODAY(),"Y")&amp; " TAHUN"</f>
        <v>22 TAHUN</v>
      </c>
      <c r="L638" s="24" t="s">
        <v>1303</v>
      </c>
    </row>
    <row r="639" spans="1:12" ht="20.100000000000001" customHeight="1" x14ac:dyDescent="0.25">
      <c r="A639" s="8">
        <f t="shared" si="9"/>
        <v>636</v>
      </c>
      <c r="B639" s="21" t="s">
        <v>1574</v>
      </c>
      <c r="C639" s="21" t="s">
        <v>1585</v>
      </c>
      <c r="D639" s="22" t="s">
        <v>1586</v>
      </c>
      <c r="E639" s="22" t="s">
        <v>671</v>
      </c>
      <c r="F639" s="22" t="s">
        <v>30</v>
      </c>
      <c r="G639" s="23">
        <v>41637</v>
      </c>
      <c r="H639" s="22" t="s">
        <v>35</v>
      </c>
      <c r="I639" s="22" t="s">
        <v>31</v>
      </c>
      <c r="J639" s="22" t="s">
        <v>32</v>
      </c>
      <c r="K639" s="10" t="str">
        <f ca="1">DATEDIF('DATA PENDUDUK'!$G639,TODAY(),"Y")&amp; " TAHUN"</f>
        <v>11 TAHUN</v>
      </c>
      <c r="L639" s="24" t="s">
        <v>1303</v>
      </c>
    </row>
    <row r="640" spans="1:12" ht="20.100000000000001" customHeight="1" x14ac:dyDescent="0.25">
      <c r="A640" s="8">
        <f t="shared" si="9"/>
        <v>637</v>
      </c>
      <c r="B640" s="21" t="s">
        <v>1574</v>
      </c>
      <c r="C640" s="21" t="s">
        <v>1587</v>
      </c>
      <c r="D640" s="22" t="s">
        <v>1588</v>
      </c>
      <c r="E640" s="22" t="s">
        <v>1306</v>
      </c>
      <c r="F640" s="22" t="s">
        <v>889</v>
      </c>
      <c r="G640" s="23">
        <v>41337</v>
      </c>
      <c r="H640" s="22" t="s">
        <v>35</v>
      </c>
      <c r="I640" s="22" t="s">
        <v>31</v>
      </c>
      <c r="J640" s="22" t="s">
        <v>530</v>
      </c>
      <c r="K640" s="10" t="str">
        <f ca="1">DATEDIF('DATA PENDUDUK'!$G640,TODAY(),"Y")&amp; " TAHUN"</f>
        <v>12 TAHUN</v>
      </c>
      <c r="L640" s="24" t="s">
        <v>1303</v>
      </c>
    </row>
    <row r="641" spans="1:12" ht="20.100000000000001" customHeight="1" x14ac:dyDescent="0.25">
      <c r="A641" s="8">
        <f t="shared" si="9"/>
        <v>638</v>
      </c>
      <c r="B641" s="21" t="s">
        <v>1574</v>
      </c>
      <c r="C641" s="21" t="s">
        <v>1589</v>
      </c>
      <c r="D641" s="22" t="s">
        <v>1590</v>
      </c>
      <c r="E641" s="22" t="s">
        <v>671</v>
      </c>
      <c r="F641" s="22" t="s">
        <v>1591</v>
      </c>
      <c r="G641" s="23">
        <v>31202</v>
      </c>
      <c r="H641" s="22" t="s">
        <v>35</v>
      </c>
      <c r="I641" s="22" t="s">
        <v>542</v>
      </c>
      <c r="J641" s="22" t="s">
        <v>37</v>
      </c>
      <c r="K641" s="10" t="str">
        <f ca="1">DATEDIF('DATA PENDUDUK'!$G641,TODAY(),"Y")&amp; " TAHUN"</f>
        <v>40 TAHUN</v>
      </c>
      <c r="L641" s="24" t="s">
        <v>1303</v>
      </c>
    </row>
    <row r="642" spans="1:12" ht="20.100000000000001" customHeight="1" x14ac:dyDescent="0.25">
      <c r="A642" s="8">
        <f t="shared" si="9"/>
        <v>639</v>
      </c>
      <c r="B642" s="21" t="s">
        <v>1574</v>
      </c>
      <c r="C642" s="21" t="s">
        <v>1592</v>
      </c>
      <c r="D642" s="22" t="s">
        <v>1593</v>
      </c>
      <c r="E642" s="22" t="s">
        <v>671</v>
      </c>
      <c r="F642" s="22" t="s">
        <v>1420</v>
      </c>
      <c r="G642" s="23">
        <v>35712</v>
      </c>
      <c r="H642" s="22" t="s">
        <v>35</v>
      </c>
      <c r="I642" s="22" t="s">
        <v>40</v>
      </c>
      <c r="J642" s="22" t="s">
        <v>37</v>
      </c>
      <c r="K642" s="10" t="str">
        <f ca="1">DATEDIF('DATA PENDUDUK'!$G642,TODAY(),"Y")&amp; " TAHUN"</f>
        <v>27 TAHUN</v>
      </c>
      <c r="L642" s="24" t="s">
        <v>1303</v>
      </c>
    </row>
    <row r="643" spans="1:12" ht="20.100000000000001" customHeight="1" x14ac:dyDescent="0.25">
      <c r="A643" s="8">
        <f t="shared" si="9"/>
        <v>640</v>
      </c>
      <c r="B643" s="21" t="s">
        <v>1594</v>
      </c>
      <c r="C643" s="21" t="s">
        <v>1595</v>
      </c>
      <c r="D643" s="22" t="s">
        <v>1596</v>
      </c>
      <c r="E643" s="22" t="s">
        <v>671</v>
      </c>
      <c r="F643" s="22" t="s">
        <v>1597</v>
      </c>
      <c r="G643" s="23">
        <v>33880</v>
      </c>
      <c r="H643" s="22" t="s">
        <v>18</v>
      </c>
      <c r="I643" s="22" t="s">
        <v>19</v>
      </c>
      <c r="J643" s="22" t="s">
        <v>20</v>
      </c>
      <c r="K643" s="10" t="str">
        <f ca="1">DATEDIF('DATA PENDUDUK'!$G643,TODAY(),"Y")&amp; " TAHUN"</f>
        <v>32 TAHUN</v>
      </c>
      <c r="L643" s="24" t="s">
        <v>1303</v>
      </c>
    </row>
    <row r="644" spans="1:12" ht="20.100000000000001" customHeight="1" x14ac:dyDescent="0.25">
      <c r="A644" s="8">
        <f t="shared" si="9"/>
        <v>641</v>
      </c>
      <c r="B644" s="21" t="s">
        <v>1598</v>
      </c>
      <c r="C644" s="21" t="s">
        <v>1599</v>
      </c>
      <c r="D644" s="22" t="s">
        <v>1600</v>
      </c>
      <c r="E644" s="22" t="s">
        <v>671</v>
      </c>
      <c r="F644" s="22" t="s">
        <v>1601</v>
      </c>
      <c r="G644" s="23">
        <v>30478</v>
      </c>
      <c r="H644" s="22" t="s">
        <v>35</v>
      </c>
      <c r="I644" s="22" t="s">
        <v>1302</v>
      </c>
      <c r="J644" s="22" t="s">
        <v>20</v>
      </c>
      <c r="K644" s="10" t="str">
        <f ca="1">DATEDIF('DATA PENDUDUK'!$G644,TODAY(),"Y")&amp; " TAHUN"</f>
        <v>42 TAHUN</v>
      </c>
      <c r="L644" s="24" t="s">
        <v>1303</v>
      </c>
    </row>
    <row r="645" spans="1:12" ht="20.100000000000001" customHeight="1" x14ac:dyDescent="0.25">
      <c r="A645" s="8">
        <f t="shared" si="9"/>
        <v>642</v>
      </c>
      <c r="B645" s="21" t="s">
        <v>1598</v>
      </c>
      <c r="C645" s="21" t="s">
        <v>1602</v>
      </c>
      <c r="D645" s="22" t="s">
        <v>1603</v>
      </c>
      <c r="E645" s="22" t="s">
        <v>1306</v>
      </c>
      <c r="F645" s="22" t="s">
        <v>1604</v>
      </c>
      <c r="G645" s="23">
        <v>32053</v>
      </c>
      <c r="H645" s="22" t="s">
        <v>35</v>
      </c>
      <c r="I645" s="22" t="s">
        <v>1302</v>
      </c>
      <c r="J645" s="22" t="s">
        <v>27</v>
      </c>
      <c r="K645" s="10" t="str">
        <f ca="1">DATEDIF('DATA PENDUDUK'!$G645,TODAY(),"Y")&amp; " TAHUN"</f>
        <v>37 TAHUN</v>
      </c>
      <c r="L645" s="24" t="s">
        <v>1303</v>
      </c>
    </row>
    <row r="646" spans="1:12" ht="20.100000000000001" customHeight="1" x14ac:dyDescent="0.25">
      <c r="A646" s="8">
        <f t="shared" ref="A646:A709" si="10">IF(D646="","",ROW()-3)</f>
        <v>643</v>
      </c>
      <c r="B646" s="21" t="s">
        <v>1598</v>
      </c>
      <c r="C646" s="21" t="s">
        <v>1605</v>
      </c>
      <c r="D646" s="22" t="s">
        <v>1606</v>
      </c>
      <c r="E646" s="22" t="s">
        <v>671</v>
      </c>
      <c r="F646" s="22" t="s">
        <v>30</v>
      </c>
      <c r="G646" s="23">
        <v>39813</v>
      </c>
      <c r="H646" s="22" t="s">
        <v>35</v>
      </c>
      <c r="I646" s="22" t="s">
        <v>31</v>
      </c>
      <c r="J646" s="22" t="s">
        <v>32</v>
      </c>
      <c r="K646" s="10" t="str">
        <f ca="1">DATEDIF('DATA PENDUDUK'!$G646,TODAY(),"Y")&amp; " TAHUN"</f>
        <v>16 TAHUN</v>
      </c>
      <c r="L646" s="24" t="s">
        <v>1303</v>
      </c>
    </row>
    <row r="647" spans="1:12" ht="20.100000000000001" customHeight="1" x14ac:dyDescent="0.25">
      <c r="A647" s="8">
        <f t="shared" si="10"/>
        <v>644</v>
      </c>
      <c r="B647" s="21" t="s">
        <v>1598</v>
      </c>
      <c r="C647" s="21" t="s">
        <v>1607</v>
      </c>
      <c r="D647" s="22" t="s">
        <v>1608</v>
      </c>
      <c r="E647" s="22" t="s">
        <v>671</v>
      </c>
      <c r="F647" s="22" t="s">
        <v>30</v>
      </c>
      <c r="G647" s="23">
        <v>40284</v>
      </c>
      <c r="H647" s="22" t="s">
        <v>35</v>
      </c>
      <c r="I647" s="22" t="s">
        <v>31</v>
      </c>
      <c r="J647" s="22" t="s">
        <v>32</v>
      </c>
      <c r="K647" s="10" t="str">
        <f ca="1">DATEDIF('DATA PENDUDUK'!$G647,TODAY(),"Y")&amp; " TAHUN"</f>
        <v>15 TAHUN</v>
      </c>
      <c r="L647" s="24" t="s">
        <v>1303</v>
      </c>
    </row>
    <row r="648" spans="1:12" ht="20.100000000000001" customHeight="1" x14ac:dyDescent="0.25">
      <c r="A648" s="8">
        <f t="shared" si="10"/>
        <v>645</v>
      </c>
      <c r="B648" s="21" t="s">
        <v>1598</v>
      </c>
      <c r="C648" s="21" t="s">
        <v>1609</v>
      </c>
      <c r="D648" s="22" t="s">
        <v>1610</v>
      </c>
      <c r="E648" s="22" t="s">
        <v>1306</v>
      </c>
      <c r="F648" s="22" t="s">
        <v>30</v>
      </c>
      <c r="G648" s="23">
        <v>40661</v>
      </c>
      <c r="H648" s="22" t="s">
        <v>35</v>
      </c>
      <c r="I648" s="22" t="s">
        <v>31</v>
      </c>
      <c r="J648" s="22" t="s">
        <v>32</v>
      </c>
      <c r="K648" s="10" t="str">
        <f ca="1">DATEDIF('DATA PENDUDUK'!$G648,TODAY(),"Y")&amp; " TAHUN"</f>
        <v>14 TAHUN</v>
      </c>
      <c r="L648" s="24" t="s">
        <v>1303</v>
      </c>
    </row>
    <row r="649" spans="1:12" ht="20.100000000000001" customHeight="1" x14ac:dyDescent="0.25">
      <c r="A649" s="8">
        <f t="shared" si="10"/>
        <v>646</v>
      </c>
      <c r="B649" s="21" t="s">
        <v>1611</v>
      </c>
      <c r="C649" s="21" t="s">
        <v>1612</v>
      </c>
      <c r="D649" s="22" t="s">
        <v>1613</v>
      </c>
      <c r="E649" s="22" t="s">
        <v>671</v>
      </c>
      <c r="F649" s="22" t="s">
        <v>332</v>
      </c>
      <c r="G649" s="23">
        <v>28532</v>
      </c>
      <c r="H649" s="22" t="s">
        <v>35</v>
      </c>
      <c r="I649" s="22" t="s">
        <v>19</v>
      </c>
      <c r="J649" s="22" t="s">
        <v>20</v>
      </c>
      <c r="K649" s="10" t="str">
        <f ca="1">DATEDIF('DATA PENDUDUK'!$G649,TODAY(),"Y")&amp; " TAHUN"</f>
        <v>47 TAHUN</v>
      </c>
      <c r="L649" s="24" t="s">
        <v>1303</v>
      </c>
    </row>
    <row r="650" spans="1:12" ht="20.100000000000001" customHeight="1" x14ac:dyDescent="0.25">
      <c r="A650" s="8">
        <f t="shared" si="10"/>
        <v>647</v>
      </c>
      <c r="B650" s="21" t="s">
        <v>1611</v>
      </c>
      <c r="C650" s="21" t="s">
        <v>1614</v>
      </c>
      <c r="D650" s="22" t="s">
        <v>1615</v>
      </c>
      <c r="E650" s="22" t="s">
        <v>1306</v>
      </c>
      <c r="F650" s="22" t="s">
        <v>174</v>
      </c>
      <c r="G650" s="23">
        <v>29500</v>
      </c>
      <c r="H650" s="22" t="s">
        <v>35</v>
      </c>
      <c r="I650" s="22" t="s">
        <v>1302</v>
      </c>
      <c r="J650" s="22" t="s">
        <v>27</v>
      </c>
      <c r="K650" s="10" t="str">
        <f ca="1">DATEDIF('DATA PENDUDUK'!$G650,TODAY(),"Y")&amp; " TAHUN"</f>
        <v>44 TAHUN</v>
      </c>
      <c r="L650" s="24" t="s">
        <v>1303</v>
      </c>
    </row>
    <row r="651" spans="1:12" ht="20.100000000000001" customHeight="1" x14ac:dyDescent="0.25">
      <c r="A651" s="8">
        <f t="shared" si="10"/>
        <v>648</v>
      </c>
      <c r="B651" s="21" t="s">
        <v>1611</v>
      </c>
      <c r="C651" s="21" t="s">
        <v>1616</v>
      </c>
      <c r="D651" s="22" t="s">
        <v>1617</v>
      </c>
      <c r="E651" s="22" t="s">
        <v>1306</v>
      </c>
      <c r="F651" s="22" t="s">
        <v>30</v>
      </c>
      <c r="G651" s="23">
        <v>38051</v>
      </c>
      <c r="H651" s="22" t="s">
        <v>35</v>
      </c>
      <c r="I651" s="22" t="s">
        <v>40</v>
      </c>
      <c r="J651" s="22" t="s">
        <v>32</v>
      </c>
      <c r="K651" s="10" t="str">
        <f ca="1">DATEDIF('DATA PENDUDUK'!$G651,TODAY(),"Y")&amp; " TAHUN"</f>
        <v>21 TAHUN</v>
      </c>
      <c r="L651" s="24" t="s">
        <v>1303</v>
      </c>
    </row>
    <row r="652" spans="1:12" ht="20.100000000000001" customHeight="1" x14ac:dyDescent="0.25">
      <c r="A652" s="8">
        <f t="shared" si="10"/>
        <v>649</v>
      </c>
      <c r="B652" s="21" t="s">
        <v>1611</v>
      </c>
      <c r="C652" s="21" t="s">
        <v>1618</v>
      </c>
      <c r="D652" s="22" t="s">
        <v>1619</v>
      </c>
      <c r="E652" s="22" t="s">
        <v>671</v>
      </c>
      <c r="F652" s="22" t="s">
        <v>30</v>
      </c>
      <c r="G652" s="23">
        <v>39495</v>
      </c>
      <c r="H652" s="22" t="s">
        <v>35</v>
      </c>
      <c r="I652" s="22" t="s">
        <v>31</v>
      </c>
      <c r="J652" s="22" t="s">
        <v>32</v>
      </c>
      <c r="K652" s="10" t="str">
        <f ca="1">DATEDIF('DATA PENDUDUK'!$G652,TODAY(),"Y")&amp; " TAHUN"</f>
        <v>17 TAHUN</v>
      </c>
      <c r="L652" s="24" t="s">
        <v>1303</v>
      </c>
    </row>
    <row r="653" spans="1:12" ht="20.100000000000001" customHeight="1" x14ac:dyDescent="0.25">
      <c r="A653" s="8">
        <f t="shared" si="10"/>
        <v>650</v>
      </c>
      <c r="B653" s="21" t="s">
        <v>1611</v>
      </c>
      <c r="C653" s="21" t="s">
        <v>1620</v>
      </c>
      <c r="D653" s="22" t="s">
        <v>1621</v>
      </c>
      <c r="E653" s="22" t="s">
        <v>671</v>
      </c>
      <c r="F653" s="22" t="s">
        <v>30</v>
      </c>
      <c r="G653" s="23">
        <v>40141</v>
      </c>
      <c r="H653" s="22" t="s">
        <v>35</v>
      </c>
      <c r="I653" s="22" t="s">
        <v>31</v>
      </c>
      <c r="J653" s="22" t="s">
        <v>32</v>
      </c>
      <c r="K653" s="10" t="str">
        <f ca="1">DATEDIF('DATA PENDUDUK'!$G653,TODAY(),"Y")&amp; " TAHUN"</f>
        <v>15 TAHUN</v>
      </c>
      <c r="L653" s="24" t="s">
        <v>1303</v>
      </c>
    </row>
    <row r="654" spans="1:12" ht="20.100000000000001" customHeight="1" x14ac:dyDescent="0.25">
      <c r="A654" s="8">
        <f t="shared" si="10"/>
        <v>651</v>
      </c>
      <c r="B654" s="21" t="s">
        <v>1611</v>
      </c>
      <c r="C654" s="21" t="s">
        <v>1622</v>
      </c>
      <c r="D654" s="22" t="s">
        <v>1623</v>
      </c>
      <c r="E654" s="22" t="s">
        <v>1306</v>
      </c>
      <c r="F654" s="22" t="s">
        <v>30</v>
      </c>
      <c r="G654" s="23">
        <v>43175</v>
      </c>
      <c r="H654" s="22" t="s">
        <v>35</v>
      </c>
      <c r="I654" s="22" t="s">
        <v>40</v>
      </c>
      <c r="J654" s="22" t="s">
        <v>32</v>
      </c>
      <c r="K654" s="10" t="str">
        <f ca="1">DATEDIF('DATA PENDUDUK'!$G654,TODAY(),"Y")&amp; " TAHUN"</f>
        <v>7 TAHUN</v>
      </c>
      <c r="L654" s="24" t="s">
        <v>1303</v>
      </c>
    </row>
    <row r="655" spans="1:12" ht="20.100000000000001" customHeight="1" x14ac:dyDescent="0.25">
      <c r="A655" s="8">
        <f t="shared" si="10"/>
        <v>652</v>
      </c>
      <c r="B655" s="21" t="s">
        <v>1624</v>
      </c>
      <c r="C655" s="21" t="s">
        <v>1625</v>
      </c>
      <c r="D655" s="22" t="s">
        <v>1626</v>
      </c>
      <c r="E655" s="22" t="s">
        <v>671</v>
      </c>
      <c r="F655" s="22" t="s">
        <v>1627</v>
      </c>
      <c r="G655" s="23">
        <v>24917</v>
      </c>
      <c r="H655" s="22" t="s">
        <v>35</v>
      </c>
      <c r="I655" s="22" t="s">
        <v>1628</v>
      </c>
      <c r="J655" s="22" t="s">
        <v>20</v>
      </c>
      <c r="K655" s="10" t="str">
        <f ca="1">DATEDIF('DATA PENDUDUK'!$G655,TODAY(),"Y")&amp; " TAHUN"</f>
        <v>57 TAHUN</v>
      </c>
      <c r="L655" s="24" t="s">
        <v>1303</v>
      </c>
    </row>
    <row r="656" spans="1:12" ht="20.100000000000001" customHeight="1" x14ac:dyDescent="0.25">
      <c r="A656" s="8">
        <f t="shared" si="10"/>
        <v>653</v>
      </c>
      <c r="B656" s="21" t="s">
        <v>1624</v>
      </c>
      <c r="C656" s="21" t="s">
        <v>1629</v>
      </c>
      <c r="D656" s="22" t="s">
        <v>1630</v>
      </c>
      <c r="E656" s="22" t="s">
        <v>1306</v>
      </c>
      <c r="F656" s="22" t="s">
        <v>1627</v>
      </c>
      <c r="G656" s="23">
        <v>26406</v>
      </c>
      <c r="H656" s="22" t="s">
        <v>35</v>
      </c>
      <c r="I656" s="22" t="s">
        <v>26</v>
      </c>
      <c r="J656" s="22" t="s">
        <v>27</v>
      </c>
      <c r="K656" s="10" t="str">
        <f ca="1">DATEDIF('DATA PENDUDUK'!$G656,TODAY(),"Y")&amp; " TAHUN"</f>
        <v>53 TAHUN</v>
      </c>
      <c r="L656" s="24" t="s">
        <v>1303</v>
      </c>
    </row>
    <row r="657" spans="1:12" ht="20.100000000000001" customHeight="1" x14ac:dyDescent="0.25">
      <c r="A657" s="8">
        <f t="shared" si="10"/>
        <v>654</v>
      </c>
      <c r="B657" s="21" t="s">
        <v>1624</v>
      </c>
      <c r="C657" s="21" t="s">
        <v>1631</v>
      </c>
      <c r="D657" s="22" t="s">
        <v>1632</v>
      </c>
      <c r="E657" s="22" t="s">
        <v>671</v>
      </c>
      <c r="F657" s="22" t="s">
        <v>1627</v>
      </c>
      <c r="G657" s="23">
        <v>36047</v>
      </c>
      <c r="H657" s="22" t="s">
        <v>35</v>
      </c>
      <c r="I657" s="22" t="s">
        <v>40</v>
      </c>
      <c r="J657" s="22" t="s">
        <v>32</v>
      </c>
      <c r="K657" s="10" t="str">
        <f ca="1">DATEDIF('DATA PENDUDUK'!$G657,TODAY(),"Y")&amp; " TAHUN"</f>
        <v>26 TAHUN</v>
      </c>
      <c r="L657" s="24" t="s">
        <v>1303</v>
      </c>
    </row>
    <row r="658" spans="1:12" ht="20.100000000000001" customHeight="1" x14ac:dyDescent="0.25">
      <c r="A658" s="8">
        <f t="shared" si="10"/>
        <v>655</v>
      </c>
      <c r="B658" s="21" t="s">
        <v>1624</v>
      </c>
      <c r="C658" s="21" t="s">
        <v>1633</v>
      </c>
      <c r="D658" s="22" t="s">
        <v>1634</v>
      </c>
      <c r="E658" s="22" t="s">
        <v>1306</v>
      </c>
      <c r="F658" s="22" t="s">
        <v>30</v>
      </c>
      <c r="G658" s="23">
        <v>37969</v>
      </c>
      <c r="H658" s="22" t="s">
        <v>35</v>
      </c>
      <c r="I658" s="22" t="s">
        <v>40</v>
      </c>
      <c r="J658" s="22" t="s">
        <v>32</v>
      </c>
      <c r="K658" s="10" t="str">
        <f ca="1">DATEDIF('DATA PENDUDUK'!$G658,TODAY(),"Y")&amp; " TAHUN"</f>
        <v>21 TAHUN</v>
      </c>
      <c r="L658" s="24" t="s">
        <v>1303</v>
      </c>
    </row>
    <row r="659" spans="1:12" ht="20.100000000000001" customHeight="1" x14ac:dyDescent="0.25">
      <c r="A659" s="8">
        <f t="shared" si="10"/>
        <v>656</v>
      </c>
      <c r="B659" s="21" t="s">
        <v>1624</v>
      </c>
      <c r="C659" s="21" t="s">
        <v>1635</v>
      </c>
      <c r="D659" s="22" t="s">
        <v>1636</v>
      </c>
      <c r="E659" s="22" t="s">
        <v>671</v>
      </c>
      <c r="F659" s="22" t="s">
        <v>30</v>
      </c>
      <c r="G659" s="23">
        <v>38782</v>
      </c>
      <c r="H659" s="22" t="s">
        <v>35</v>
      </c>
      <c r="I659" s="22" t="s">
        <v>40</v>
      </c>
      <c r="J659" s="22" t="s">
        <v>32</v>
      </c>
      <c r="K659" s="10" t="str">
        <f ca="1">DATEDIF('DATA PENDUDUK'!$G659,TODAY(),"Y")&amp; " TAHUN"</f>
        <v>19 TAHUN</v>
      </c>
      <c r="L659" s="24" t="s">
        <v>1303</v>
      </c>
    </row>
    <row r="660" spans="1:12" ht="20.100000000000001" customHeight="1" x14ac:dyDescent="0.25">
      <c r="A660" s="8">
        <f t="shared" si="10"/>
        <v>657</v>
      </c>
      <c r="B660" s="21" t="s">
        <v>1624</v>
      </c>
      <c r="C660" s="21" t="s">
        <v>1637</v>
      </c>
      <c r="D660" s="22" t="s">
        <v>1638</v>
      </c>
      <c r="E660" s="22" t="s">
        <v>671</v>
      </c>
      <c r="F660" s="22" t="s">
        <v>30</v>
      </c>
      <c r="G660" s="23">
        <v>39553</v>
      </c>
      <c r="H660" s="22" t="s">
        <v>35</v>
      </c>
      <c r="I660" s="22" t="s">
        <v>31</v>
      </c>
      <c r="J660" s="22" t="s">
        <v>32</v>
      </c>
      <c r="K660" s="10" t="str">
        <f ca="1">DATEDIF('DATA PENDUDUK'!$G660,TODAY(),"Y")&amp; " TAHUN"</f>
        <v>17 TAHUN</v>
      </c>
      <c r="L660" s="24" t="s">
        <v>1303</v>
      </c>
    </row>
    <row r="661" spans="1:12" ht="20.100000000000001" customHeight="1" x14ac:dyDescent="0.25">
      <c r="A661" s="8">
        <f t="shared" si="10"/>
        <v>658</v>
      </c>
      <c r="B661" s="21" t="s">
        <v>1639</v>
      </c>
      <c r="C661" s="21" t="s">
        <v>1640</v>
      </c>
      <c r="D661" s="22" t="s">
        <v>1641</v>
      </c>
      <c r="E661" s="22" t="s">
        <v>671</v>
      </c>
      <c r="F661" s="22" t="s">
        <v>1642</v>
      </c>
      <c r="G661" s="23">
        <v>25940</v>
      </c>
      <c r="H661" s="22" t="s">
        <v>35</v>
      </c>
      <c r="I661" s="22" t="s">
        <v>73</v>
      </c>
      <c r="J661" s="22" t="s">
        <v>20</v>
      </c>
      <c r="K661" s="10" t="str">
        <f ca="1">DATEDIF('DATA PENDUDUK'!$G661,TODAY(),"Y")&amp; " TAHUN"</f>
        <v>54 TAHUN</v>
      </c>
      <c r="L661" s="24" t="s">
        <v>1303</v>
      </c>
    </row>
    <row r="662" spans="1:12" ht="20.100000000000001" customHeight="1" x14ac:dyDescent="0.25">
      <c r="A662" s="8">
        <f t="shared" si="10"/>
        <v>659</v>
      </c>
      <c r="B662" s="21" t="s">
        <v>1639</v>
      </c>
      <c r="C662" s="21" t="s">
        <v>1643</v>
      </c>
      <c r="D662" s="22" t="s">
        <v>1644</v>
      </c>
      <c r="E662" s="22" t="s">
        <v>1306</v>
      </c>
      <c r="F662" s="22" t="s">
        <v>1423</v>
      </c>
      <c r="G662" s="23">
        <v>25688</v>
      </c>
      <c r="H662" s="22" t="s">
        <v>35</v>
      </c>
      <c r="I662" s="22" t="s">
        <v>73</v>
      </c>
      <c r="J662" s="22" t="s">
        <v>27</v>
      </c>
      <c r="K662" s="10" t="str">
        <f ca="1">DATEDIF('DATA PENDUDUK'!$G662,TODAY(),"Y")&amp; " TAHUN"</f>
        <v>55 TAHUN</v>
      </c>
      <c r="L662" s="24" t="s">
        <v>1303</v>
      </c>
    </row>
    <row r="663" spans="1:12" ht="20.100000000000001" customHeight="1" x14ac:dyDescent="0.25">
      <c r="A663" s="8">
        <f t="shared" si="10"/>
        <v>660</v>
      </c>
      <c r="B663" s="21" t="s">
        <v>1639</v>
      </c>
      <c r="C663" s="21" t="s">
        <v>1645</v>
      </c>
      <c r="D663" s="22" t="s">
        <v>1646</v>
      </c>
      <c r="E663" s="22" t="s">
        <v>1306</v>
      </c>
      <c r="F663" s="22" t="s">
        <v>1476</v>
      </c>
      <c r="G663" s="23">
        <v>36025</v>
      </c>
      <c r="H663" s="22" t="s">
        <v>35</v>
      </c>
      <c r="I663" s="22" t="s">
        <v>40</v>
      </c>
      <c r="J663" s="22" t="s">
        <v>32</v>
      </c>
      <c r="K663" s="10" t="str">
        <f ca="1">DATEDIF('DATA PENDUDUK'!$G663,TODAY(),"Y")&amp; " TAHUN"</f>
        <v>26 TAHUN</v>
      </c>
      <c r="L663" s="24" t="s">
        <v>1303</v>
      </c>
    </row>
    <row r="664" spans="1:12" ht="20.100000000000001" customHeight="1" x14ac:dyDescent="0.25">
      <c r="A664" s="8">
        <f t="shared" si="10"/>
        <v>661</v>
      </c>
      <c r="B664" s="21" t="s">
        <v>1639</v>
      </c>
      <c r="C664" s="21" t="s">
        <v>1647</v>
      </c>
      <c r="D664" s="22" t="s">
        <v>1648</v>
      </c>
      <c r="E664" s="22" t="s">
        <v>671</v>
      </c>
      <c r="F664" s="22" t="s">
        <v>30</v>
      </c>
      <c r="G664" s="23">
        <v>37757</v>
      </c>
      <c r="H664" s="22" t="s">
        <v>35</v>
      </c>
      <c r="I664" s="22" t="s">
        <v>40</v>
      </c>
      <c r="J664" s="22" t="s">
        <v>32</v>
      </c>
      <c r="K664" s="10" t="str">
        <f ca="1">DATEDIF('DATA PENDUDUK'!$G664,TODAY(),"Y")&amp; " TAHUN"</f>
        <v>22 TAHUN</v>
      </c>
      <c r="L664" s="24" t="s">
        <v>1303</v>
      </c>
    </row>
    <row r="665" spans="1:12" ht="20.100000000000001" customHeight="1" x14ac:dyDescent="0.25">
      <c r="A665" s="8">
        <f t="shared" si="10"/>
        <v>662</v>
      </c>
      <c r="B665" s="21" t="s">
        <v>1639</v>
      </c>
      <c r="C665" s="21" t="s">
        <v>1649</v>
      </c>
      <c r="D665" s="22" t="s">
        <v>1650</v>
      </c>
      <c r="E665" s="22" t="s">
        <v>671</v>
      </c>
      <c r="F665" s="22" t="s">
        <v>30</v>
      </c>
      <c r="G665" s="23">
        <v>38553</v>
      </c>
      <c r="H665" s="22" t="s">
        <v>35</v>
      </c>
      <c r="I665" s="22" t="s">
        <v>40</v>
      </c>
      <c r="J665" s="22" t="s">
        <v>32</v>
      </c>
      <c r="K665" s="10" t="str">
        <f ca="1">DATEDIF('DATA PENDUDUK'!$G665,TODAY(),"Y")&amp; " TAHUN"</f>
        <v>20 TAHUN</v>
      </c>
      <c r="L665" s="24" t="s">
        <v>1303</v>
      </c>
    </row>
    <row r="666" spans="1:12" ht="20.100000000000001" customHeight="1" x14ac:dyDescent="0.25">
      <c r="A666" s="8">
        <f t="shared" si="10"/>
        <v>663</v>
      </c>
      <c r="B666" s="21" t="s">
        <v>1639</v>
      </c>
      <c r="C666" s="21" t="s">
        <v>1651</v>
      </c>
      <c r="D666" s="22" t="s">
        <v>1652</v>
      </c>
      <c r="E666" s="22" t="s">
        <v>671</v>
      </c>
      <c r="F666" s="22" t="s">
        <v>1653</v>
      </c>
      <c r="G666" s="23">
        <v>39470</v>
      </c>
      <c r="H666" s="22" t="s">
        <v>35</v>
      </c>
      <c r="I666" s="22" t="s">
        <v>31</v>
      </c>
      <c r="J666" s="22" t="s">
        <v>32</v>
      </c>
      <c r="K666" s="10" t="str">
        <f ca="1">DATEDIF('DATA PENDUDUK'!$G666,TODAY(),"Y")&amp; " TAHUN"</f>
        <v>17 TAHUN</v>
      </c>
      <c r="L666" s="24" t="s">
        <v>1303</v>
      </c>
    </row>
    <row r="667" spans="1:12" ht="20.100000000000001" customHeight="1" x14ac:dyDescent="0.25">
      <c r="A667" s="8">
        <f t="shared" si="10"/>
        <v>664</v>
      </c>
      <c r="B667" s="21" t="s">
        <v>1639</v>
      </c>
      <c r="C667" s="21" t="s">
        <v>1654</v>
      </c>
      <c r="D667" s="22" t="s">
        <v>1655</v>
      </c>
      <c r="E667" s="22" t="s">
        <v>1306</v>
      </c>
      <c r="F667" s="22" t="s">
        <v>30</v>
      </c>
      <c r="G667" s="23">
        <v>40294</v>
      </c>
      <c r="H667" s="22" t="s">
        <v>35</v>
      </c>
      <c r="I667" s="22" t="s">
        <v>31</v>
      </c>
      <c r="J667" s="22" t="s">
        <v>32</v>
      </c>
      <c r="K667" s="10" t="str">
        <f ca="1">DATEDIF('DATA PENDUDUK'!$G667,TODAY(),"Y")&amp; " TAHUN"</f>
        <v>15 TAHUN</v>
      </c>
      <c r="L667" s="24" t="s">
        <v>1303</v>
      </c>
    </row>
    <row r="668" spans="1:12" ht="20.100000000000001" customHeight="1" x14ac:dyDescent="0.25">
      <c r="A668" s="8">
        <f t="shared" si="10"/>
        <v>665</v>
      </c>
      <c r="B668" s="21" t="s">
        <v>1639</v>
      </c>
      <c r="C668" s="21" t="s">
        <v>1656</v>
      </c>
      <c r="D668" s="22" t="s">
        <v>1657</v>
      </c>
      <c r="E668" s="22" t="s">
        <v>1306</v>
      </c>
      <c r="F668" s="22" t="s">
        <v>30</v>
      </c>
      <c r="G668" s="23">
        <v>42121</v>
      </c>
      <c r="H668" s="22" t="s">
        <v>35</v>
      </c>
      <c r="I668" s="22" t="s">
        <v>31</v>
      </c>
      <c r="J668" s="22" t="s">
        <v>32</v>
      </c>
      <c r="K668" s="10" t="str">
        <f ca="1">DATEDIF('DATA PENDUDUK'!$G668,TODAY(),"Y")&amp; " TAHUN"</f>
        <v>10 TAHUN</v>
      </c>
      <c r="L668" s="24" t="s">
        <v>1303</v>
      </c>
    </row>
    <row r="669" spans="1:12" ht="20.100000000000001" customHeight="1" x14ac:dyDescent="0.25">
      <c r="A669" s="8">
        <f t="shared" si="10"/>
        <v>666</v>
      </c>
      <c r="B669" s="21" t="s">
        <v>1658</v>
      </c>
      <c r="C669" s="21" t="s">
        <v>1659</v>
      </c>
      <c r="D669" s="22" t="s">
        <v>1660</v>
      </c>
      <c r="E669" s="22" t="s">
        <v>671</v>
      </c>
      <c r="F669" s="22" t="s">
        <v>110</v>
      </c>
      <c r="G669" s="23">
        <v>26622</v>
      </c>
      <c r="H669" s="22" t="s">
        <v>35</v>
      </c>
      <c r="I669" s="22" t="s">
        <v>36</v>
      </c>
      <c r="J669" s="22" t="s">
        <v>20</v>
      </c>
      <c r="K669" s="10" t="str">
        <f ca="1">DATEDIF('DATA PENDUDUK'!$G669,TODAY(),"Y")&amp; " TAHUN"</f>
        <v>52 TAHUN</v>
      </c>
      <c r="L669" s="24" t="s">
        <v>1303</v>
      </c>
    </row>
    <row r="670" spans="1:12" ht="20.100000000000001" customHeight="1" x14ac:dyDescent="0.25">
      <c r="A670" s="8">
        <f t="shared" si="10"/>
        <v>667</v>
      </c>
      <c r="B670" s="21" t="s">
        <v>1658</v>
      </c>
      <c r="C670" s="21" t="s">
        <v>1661</v>
      </c>
      <c r="D670" s="22" t="s">
        <v>1662</v>
      </c>
      <c r="E670" s="22" t="s">
        <v>1306</v>
      </c>
      <c r="F670" s="22" t="s">
        <v>1663</v>
      </c>
      <c r="G670" s="23">
        <v>29220</v>
      </c>
      <c r="H670" s="22" t="s">
        <v>35</v>
      </c>
      <c r="I670" s="22" t="s">
        <v>26</v>
      </c>
      <c r="J670" s="22" t="s">
        <v>27</v>
      </c>
      <c r="K670" s="10" t="str">
        <f ca="1">DATEDIF('DATA PENDUDUK'!$G670,TODAY(),"Y")&amp; " TAHUN"</f>
        <v>45 TAHUN</v>
      </c>
      <c r="L670" s="24" t="s">
        <v>1303</v>
      </c>
    </row>
    <row r="671" spans="1:12" ht="20.100000000000001" customHeight="1" x14ac:dyDescent="0.25">
      <c r="A671" s="8">
        <f t="shared" si="10"/>
        <v>668</v>
      </c>
      <c r="B671" s="21" t="s">
        <v>1658</v>
      </c>
      <c r="C671" s="21" t="s">
        <v>1664</v>
      </c>
      <c r="D671" s="22" t="s">
        <v>1665</v>
      </c>
      <c r="E671" s="22" t="s">
        <v>1306</v>
      </c>
      <c r="F671" s="22" t="s">
        <v>30</v>
      </c>
      <c r="G671" s="23">
        <v>37579</v>
      </c>
      <c r="H671" s="22" t="s">
        <v>35</v>
      </c>
      <c r="I671" s="22" t="s">
        <v>40</v>
      </c>
      <c r="J671" s="22" t="s">
        <v>32</v>
      </c>
      <c r="K671" s="10" t="str">
        <f ca="1">DATEDIF('DATA PENDUDUK'!$G671,TODAY(),"Y")&amp; " TAHUN"</f>
        <v>22 TAHUN</v>
      </c>
      <c r="L671" s="24" t="s">
        <v>1303</v>
      </c>
    </row>
    <row r="672" spans="1:12" ht="20.100000000000001" customHeight="1" x14ac:dyDescent="0.25">
      <c r="A672" s="8">
        <f t="shared" si="10"/>
        <v>669</v>
      </c>
      <c r="B672" s="21" t="s">
        <v>1658</v>
      </c>
      <c r="C672" s="21" t="s">
        <v>1666</v>
      </c>
      <c r="D672" s="22" t="s">
        <v>1613</v>
      </c>
      <c r="E672" s="22" t="s">
        <v>671</v>
      </c>
      <c r="F672" s="22" t="s">
        <v>110</v>
      </c>
      <c r="G672" s="23">
        <v>37957</v>
      </c>
      <c r="H672" s="22" t="s">
        <v>35</v>
      </c>
      <c r="I672" s="22" t="s">
        <v>40</v>
      </c>
      <c r="J672" s="22" t="s">
        <v>32</v>
      </c>
      <c r="K672" s="10" t="str">
        <f ca="1">DATEDIF('DATA PENDUDUK'!$G672,TODAY(),"Y")&amp; " TAHUN"</f>
        <v>21 TAHUN</v>
      </c>
      <c r="L672" s="24" t="s">
        <v>1303</v>
      </c>
    </row>
    <row r="673" spans="1:12" ht="20.100000000000001" customHeight="1" x14ac:dyDescent="0.25">
      <c r="A673" s="8">
        <f t="shared" si="10"/>
        <v>670</v>
      </c>
      <c r="B673" s="21" t="s">
        <v>1658</v>
      </c>
      <c r="C673" s="21" t="s">
        <v>1667</v>
      </c>
      <c r="D673" s="22" t="s">
        <v>1668</v>
      </c>
      <c r="E673" s="22" t="s">
        <v>1306</v>
      </c>
      <c r="F673" s="22" t="s">
        <v>30</v>
      </c>
      <c r="G673" s="23">
        <v>39245</v>
      </c>
      <c r="H673" s="22" t="s">
        <v>35</v>
      </c>
      <c r="I673" s="22" t="s">
        <v>31</v>
      </c>
      <c r="J673" s="22" t="s">
        <v>32</v>
      </c>
      <c r="K673" s="10" t="str">
        <f ca="1">DATEDIF('DATA PENDUDUK'!$G673,TODAY(),"Y")&amp; " TAHUN"</f>
        <v>18 TAHUN</v>
      </c>
      <c r="L673" s="24" t="s">
        <v>1303</v>
      </c>
    </row>
    <row r="674" spans="1:12" ht="20.100000000000001" customHeight="1" x14ac:dyDescent="0.25">
      <c r="A674" s="8">
        <f t="shared" si="10"/>
        <v>671</v>
      </c>
      <c r="B674" s="21" t="s">
        <v>1658</v>
      </c>
      <c r="C674" s="21" t="s">
        <v>1669</v>
      </c>
      <c r="D674" s="22" t="s">
        <v>1670</v>
      </c>
      <c r="E674" s="22" t="s">
        <v>1306</v>
      </c>
      <c r="F674" s="22" t="s">
        <v>30</v>
      </c>
      <c r="G674" s="23">
        <v>39665</v>
      </c>
      <c r="H674" s="22" t="s">
        <v>35</v>
      </c>
      <c r="I674" s="22" t="s">
        <v>31</v>
      </c>
      <c r="J674" s="22" t="s">
        <v>32</v>
      </c>
      <c r="K674" s="10" t="str">
        <f ca="1">DATEDIF('DATA PENDUDUK'!$G674,TODAY(),"Y")&amp; " TAHUN"</f>
        <v>16 TAHUN</v>
      </c>
      <c r="L674" s="24" t="s">
        <v>1303</v>
      </c>
    </row>
    <row r="675" spans="1:12" ht="20.100000000000001" customHeight="1" x14ac:dyDescent="0.25">
      <c r="A675" s="8">
        <f t="shared" si="10"/>
        <v>672</v>
      </c>
      <c r="B675" s="21" t="s">
        <v>1671</v>
      </c>
      <c r="C675" s="21" t="s">
        <v>1672</v>
      </c>
      <c r="D675" s="22" t="s">
        <v>1673</v>
      </c>
      <c r="E675" s="22" t="s">
        <v>671</v>
      </c>
      <c r="F675" s="22" t="s">
        <v>1674</v>
      </c>
      <c r="G675" s="23">
        <v>26744</v>
      </c>
      <c r="H675" s="22" t="s">
        <v>35</v>
      </c>
      <c r="I675" s="22" t="s">
        <v>73</v>
      </c>
      <c r="J675" s="22" t="s">
        <v>20</v>
      </c>
      <c r="K675" s="10" t="str">
        <f ca="1">DATEDIF('DATA PENDUDUK'!$G675,TODAY(),"Y")&amp; " TAHUN"</f>
        <v>52 TAHUN</v>
      </c>
      <c r="L675" s="24" t="s">
        <v>1303</v>
      </c>
    </row>
    <row r="676" spans="1:12" ht="20.100000000000001" customHeight="1" x14ac:dyDescent="0.25">
      <c r="A676" s="8">
        <f t="shared" si="10"/>
        <v>673</v>
      </c>
      <c r="B676" s="21" t="s">
        <v>1671</v>
      </c>
      <c r="C676" s="21" t="s">
        <v>1675</v>
      </c>
      <c r="D676" s="22" t="s">
        <v>1676</v>
      </c>
      <c r="E676" s="22" t="s">
        <v>1306</v>
      </c>
      <c r="F676" s="22" t="s">
        <v>1423</v>
      </c>
      <c r="G676" s="23">
        <v>28578</v>
      </c>
      <c r="H676" s="22" t="s">
        <v>35</v>
      </c>
      <c r="I676" s="22" t="s">
        <v>73</v>
      </c>
      <c r="J676" s="22" t="s">
        <v>27</v>
      </c>
      <c r="K676" s="10" t="str">
        <f ca="1">DATEDIF('DATA PENDUDUK'!$G676,TODAY(),"Y")&amp; " TAHUN"</f>
        <v>47 TAHUN</v>
      </c>
      <c r="L676" s="24" t="s">
        <v>1303</v>
      </c>
    </row>
    <row r="677" spans="1:12" ht="20.100000000000001" customHeight="1" x14ac:dyDescent="0.25">
      <c r="A677" s="8">
        <f t="shared" si="10"/>
        <v>674</v>
      </c>
      <c r="B677" s="21" t="s">
        <v>1671</v>
      </c>
      <c r="C677" s="21" t="s">
        <v>1677</v>
      </c>
      <c r="D677" s="22" t="s">
        <v>1678</v>
      </c>
      <c r="E677" s="22" t="s">
        <v>1306</v>
      </c>
      <c r="F677" s="22" t="s">
        <v>134</v>
      </c>
      <c r="G677" s="23">
        <v>37088</v>
      </c>
      <c r="H677" s="22" t="s">
        <v>35</v>
      </c>
      <c r="I677" s="22" t="s">
        <v>40</v>
      </c>
      <c r="J677" s="22" t="s">
        <v>32</v>
      </c>
      <c r="K677" s="10" t="str">
        <f ca="1">DATEDIF('DATA PENDUDUK'!$G677,TODAY(),"Y")&amp; " TAHUN"</f>
        <v>24 TAHUN</v>
      </c>
      <c r="L677" s="24" t="s">
        <v>1303</v>
      </c>
    </row>
    <row r="678" spans="1:12" ht="20.100000000000001" customHeight="1" x14ac:dyDescent="0.25">
      <c r="A678" s="8">
        <f t="shared" si="10"/>
        <v>675</v>
      </c>
      <c r="B678" s="21" t="s">
        <v>1671</v>
      </c>
      <c r="C678" s="21" t="s">
        <v>1679</v>
      </c>
      <c r="D678" s="22" t="s">
        <v>1680</v>
      </c>
      <c r="E678" s="22" t="s">
        <v>1306</v>
      </c>
      <c r="F678" s="22" t="s">
        <v>889</v>
      </c>
      <c r="G678" s="23">
        <v>37885</v>
      </c>
      <c r="H678" s="22" t="s">
        <v>35</v>
      </c>
      <c r="I678" s="22" t="s">
        <v>40</v>
      </c>
      <c r="J678" s="22" t="s">
        <v>32</v>
      </c>
      <c r="K678" s="10" t="str">
        <f ca="1">DATEDIF('DATA PENDUDUK'!$G678,TODAY(),"Y")&amp; " TAHUN"</f>
        <v>21 TAHUN</v>
      </c>
      <c r="L678" s="24" t="s">
        <v>1303</v>
      </c>
    </row>
    <row r="679" spans="1:12" ht="20.100000000000001" customHeight="1" x14ac:dyDescent="0.25">
      <c r="A679" s="8">
        <f t="shared" si="10"/>
        <v>676</v>
      </c>
      <c r="B679" s="21" t="s">
        <v>1671</v>
      </c>
      <c r="C679" s="21" t="s">
        <v>1681</v>
      </c>
      <c r="D679" s="22" t="s">
        <v>1682</v>
      </c>
      <c r="E679" s="22" t="s">
        <v>671</v>
      </c>
      <c r="F679" s="22" t="s">
        <v>1683</v>
      </c>
      <c r="G679" s="23">
        <v>38648</v>
      </c>
      <c r="H679" s="22" t="s">
        <v>35</v>
      </c>
      <c r="I679" s="22" t="s">
        <v>40</v>
      </c>
      <c r="J679" s="22" t="s">
        <v>32</v>
      </c>
      <c r="K679" s="10" t="str">
        <f ca="1">DATEDIF('DATA PENDUDUK'!$G679,TODAY(),"Y")&amp; " TAHUN"</f>
        <v>19 TAHUN</v>
      </c>
      <c r="L679" s="24" t="s">
        <v>1303</v>
      </c>
    </row>
    <row r="680" spans="1:12" ht="20.100000000000001" customHeight="1" x14ac:dyDescent="0.25">
      <c r="A680" s="8">
        <f t="shared" si="10"/>
        <v>677</v>
      </c>
      <c r="B680" s="21" t="s">
        <v>1671</v>
      </c>
      <c r="C680" s="21" t="s">
        <v>1684</v>
      </c>
      <c r="D680" s="22" t="s">
        <v>1685</v>
      </c>
      <c r="E680" s="22" t="s">
        <v>671</v>
      </c>
      <c r="F680" s="22" t="s">
        <v>1683</v>
      </c>
      <c r="G680" s="23">
        <v>38648</v>
      </c>
      <c r="H680" s="22" t="s">
        <v>35</v>
      </c>
      <c r="I680" s="22" t="s">
        <v>40</v>
      </c>
      <c r="J680" s="22" t="s">
        <v>32</v>
      </c>
      <c r="K680" s="10" t="str">
        <f ca="1">DATEDIF('DATA PENDUDUK'!$G680,TODAY(),"Y")&amp; " TAHUN"</f>
        <v>19 TAHUN</v>
      </c>
      <c r="L680" s="24" t="s">
        <v>1303</v>
      </c>
    </row>
    <row r="681" spans="1:12" ht="20.100000000000001" customHeight="1" x14ac:dyDescent="0.25">
      <c r="A681" s="8">
        <f t="shared" si="10"/>
        <v>678</v>
      </c>
      <c r="B681" s="21" t="s">
        <v>1671</v>
      </c>
      <c r="C681" s="21" t="s">
        <v>1686</v>
      </c>
      <c r="D681" s="22" t="s">
        <v>1687</v>
      </c>
      <c r="E681" s="22" t="s">
        <v>671</v>
      </c>
      <c r="F681" s="22" t="s">
        <v>30</v>
      </c>
      <c r="G681" s="23">
        <v>41428</v>
      </c>
      <c r="H681" s="22" t="s">
        <v>35</v>
      </c>
      <c r="I681" s="22" t="s">
        <v>31</v>
      </c>
      <c r="J681" s="22" t="s">
        <v>32</v>
      </c>
      <c r="K681" s="10" t="str">
        <f ca="1">DATEDIF('DATA PENDUDUK'!$G681,TODAY(),"Y")&amp; " TAHUN"</f>
        <v>12 TAHUN</v>
      </c>
      <c r="L681" s="24" t="s">
        <v>1303</v>
      </c>
    </row>
    <row r="682" spans="1:12" ht="20.100000000000001" customHeight="1" x14ac:dyDescent="0.25">
      <c r="A682" s="8">
        <f t="shared" si="10"/>
        <v>679</v>
      </c>
      <c r="B682" s="21" t="s">
        <v>1688</v>
      </c>
      <c r="C682" s="21" t="s">
        <v>1689</v>
      </c>
      <c r="D682" s="22" t="s">
        <v>1008</v>
      </c>
      <c r="E682" s="22" t="s">
        <v>671</v>
      </c>
      <c r="F682" s="22" t="s">
        <v>955</v>
      </c>
      <c r="G682" s="23">
        <v>28842</v>
      </c>
      <c r="H682" s="22" t="s">
        <v>438</v>
      </c>
      <c r="I682" s="22" t="s">
        <v>1690</v>
      </c>
      <c r="J682" s="22" t="s">
        <v>20</v>
      </c>
      <c r="K682" s="10" t="str">
        <f ca="1">DATEDIF('DATA PENDUDUK'!$G682,TODAY(),"Y")&amp; " TAHUN"</f>
        <v>46 TAHUN</v>
      </c>
      <c r="L682" s="24" t="s">
        <v>1303</v>
      </c>
    </row>
    <row r="683" spans="1:12" ht="20.100000000000001" customHeight="1" x14ac:dyDescent="0.25">
      <c r="A683" s="8">
        <f t="shared" si="10"/>
        <v>680</v>
      </c>
      <c r="B683" s="21" t="s">
        <v>1688</v>
      </c>
      <c r="C683" s="21" t="s">
        <v>1691</v>
      </c>
      <c r="D683" s="22" t="s">
        <v>1692</v>
      </c>
      <c r="E683" s="22" t="s">
        <v>1306</v>
      </c>
      <c r="F683" s="22" t="s">
        <v>955</v>
      </c>
      <c r="G683" s="23">
        <v>32548</v>
      </c>
      <c r="H683" s="22" t="s">
        <v>438</v>
      </c>
      <c r="I683" s="22" t="s">
        <v>26</v>
      </c>
      <c r="J683" s="22" t="s">
        <v>27</v>
      </c>
      <c r="K683" s="10" t="str">
        <f ca="1">DATEDIF('DATA PENDUDUK'!$G683,TODAY(),"Y")&amp; " TAHUN"</f>
        <v>36 TAHUN</v>
      </c>
      <c r="L683" s="24" t="s">
        <v>1303</v>
      </c>
    </row>
    <row r="684" spans="1:12" ht="20.100000000000001" customHeight="1" x14ac:dyDescent="0.25">
      <c r="A684" s="8">
        <f t="shared" si="10"/>
        <v>681</v>
      </c>
      <c r="B684" s="21" t="s">
        <v>1688</v>
      </c>
      <c r="C684" s="21" t="s">
        <v>1693</v>
      </c>
      <c r="D684" s="22" t="s">
        <v>1694</v>
      </c>
      <c r="E684" s="22" t="s">
        <v>1306</v>
      </c>
      <c r="F684" s="22" t="s">
        <v>30</v>
      </c>
      <c r="G684" s="23">
        <v>38970</v>
      </c>
      <c r="H684" s="22" t="s">
        <v>438</v>
      </c>
      <c r="I684" s="22" t="s">
        <v>31</v>
      </c>
      <c r="J684" s="22" t="s">
        <v>32</v>
      </c>
      <c r="K684" s="10" t="str">
        <f ca="1">DATEDIF('DATA PENDUDUK'!$G684,TODAY(),"Y")&amp; " TAHUN"</f>
        <v>18 TAHUN</v>
      </c>
      <c r="L684" s="24" t="s">
        <v>1303</v>
      </c>
    </row>
    <row r="685" spans="1:12" ht="20.100000000000001" customHeight="1" x14ac:dyDescent="0.25">
      <c r="A685" s="8">
        <f t="shared" si="10"/>
        <v>682</v>
      </c>
      <c r="B685" s="21" t="s">
        <v>1688</v>
      </c>
      <c r="C685" s="21" t="s">
        <v>1695</v>
      </c>
      <c r="D685" s="22" t="s">
        <v>1696</v>
      </c>
      <c r="E685" s="22" t="s">
        <v>1306</v>
      </c>
      <c r="F685" s="22" t="s">
        <v>30</v>
      </c>
      <c r="G685" s="23">
        <v>39699</v>
      </c>
      <c r="H685" s="22" t="s">
        <v>438</v>
      </c>
      <c r="I685" s="22" t="s">
        <v>31</v>
      </c>
      <c r="J685" s="22" t="s">
        <v>32</v>
      </c>
      <c r="K685" s="10" t="str">
        <f ca="1">DATEDIF('DATA PENDUDUK'!$G685,TODAY(),"Y")&amp; " TAHUN"</f>
        <v>16 TAHUN</v>
      </c>
      <c r="L685" s="24" t="s">
        <v>1303</v>
      </c>
    </row>
    <row r="686" spans="1:12" ht="20.100000000000001" customHeight="1" x14ac:dyDescent="0.25">
      <c r="A686" s="8">
        <f t="shared" si="10"/>
        <v>683</v>
      </c>
      <c r="B686" s="21" t="s">
        <v>1688</v>
      </c>
      <c r="C686" s="21" t="s">
        <v>1697</v>
      </c>
      <c r="D686" s="22" t="s">
        <v>1016</v>
      </c>
      <c r="E686" s="22" t="s">
        <v>671</v>
      </c>
      <c r="F686" s="22" t="s">
        <v>30</v>
      </c>
      <c r="G686" s="23">
        <v>40444</v>
      </c>
      <c r="H686" s="22" t="s">
        <v>438</v>
      </c>
      <c r="I686" s="22" t="s">
        <v>31</v>
      </c>
      <c r="J686" s="22" t="s">
        <v>32</v>
      </c>
      <c r="K686" s="10" t="str">
        <f ca="1">DATEDIF('DATA PENDUDUK'!$G686,TODAY(),"Y")&amp; " TAHUN"</f>
        <v>14 TAHUN</v>
      </c>
      <c r="L686" s="24" t="s">
        <v>1303</v>
      </c>
    </row>
    <row r="687" spans="1:12" ht="20.100000000000001" customHeight="1" x14ac:dyDescent="0.25">
      <c r="A687" s="8">
        <f t="shared" si="10"/>
        <v>684</v>
      </c>
      <c r="B687" s="21" t="s">
        <v>1688</v>
      </c>
      <c r="C687" s="21" t="s">
        <v>1698</v>
      </c>
      <c r="D687" s="22" t="s">
        <v>1699</v>
      </c>
      <c r="E687" s="22" t="s">
        <v>1306</v>
      </c>
      <c r="F687" s="22" t="s">
        <v>30</v>
      </c>
      <c r="G687" s="23">
        <v>41100</v>
      </c>
      <c r="H687" s="22" t="s">
        <v>438</v>
      </c>
      <c r="I687" s="22" t="s">
        <v>31</v>
      </c>
      <c r="J687" s="22" t="s">
        <v>32</v>
      </c>
      <c r="K687" s="10" t="str">
        <f ca="1">DATEDIF('DATA PENDUDUK'!$G687,TODAY(),"Y")&amp; " TAHUN"</f>
        <v>13 TAHUN</v>
      </c>
      <c r="L687" s="24" t="s">
        <v>1303</v>
      </c>
    </row>
    <row r="688" spans="1:12" ht="20.100000000000001" customHeight="1" x14ac:dyDescent="0.25">
      <c r="A688" s="8">
        <f t="shared" si="10"/>
        <v>685</v>
      </c>
      <c r="B688" s="21" t="s">
        <v>1688</v>
      </c>
      <c r="C688" s="21" t="s">
        <v>1700</v>
      </c>
      <c r="D688" s="22" t="s">
        <v>1701</v>
      </c>
      <c r="E688" s="22" t="s">
        <v>1306</v>
      </c>
      <c r="F688" s="22" t="s">
        <v>681</v>
      </c>
      <c r="G688" s="23">
        <v>34866</v>
      </c>
      <c r="H688" s="22" t="s">
        <v>438</v>
      </c>
      <c r="I688" s="22" t="s">
        <v>40</v>
      </c>
      <c r="J688" s="22" t="s">
        <v>37</v>
      </c>
      <c r="K688" s="10" t="str">
        <f ca="1">DATEDIF('DATA PENDUDUK'!$G688,TODAY(),"Y")&amp; " TAHUN"</f>
        <v>30 TAHUN</v>
      </c>
      <c r="L688" s="24" t="s">
        <v>1303</v>
      </c>
    </row>
    <row r="689" spans="1:12" ht="20.100000000000001" customHeight="1" x14ac:dyDescent="0.25">
      <c r="A689" s="8">
        <f t="shared" si="10"/>
        <v>686</v>
      </c>
      <c r="B689" s="21" t="s">
        <v>1688</v>
      </c>
      <c r="C689" s="21" t="s">
        <v>1702</v>
      </c>
      <c r="D689" s="22" t="s">
        <v>1703</v>
      </c>
      <c r="E689" s="22" t="s">
        <v>671</v>
      </c>
      <c r="F689" s="22" t="s">
        <v>681</v>
      </c>
      <c r="G689" s="23">
        <v>35316</v>
      </c>
      <c r="H689" s="22" t="s">
        <v>438</v>
      </c>
      <c r="I689" s="22" t="s">
        <v>40</v>
      </c>
      <c r="J689" s="22" t="s">
        <v>37</v>
      </c>
      <c r="K689" s="10" t="str">
        <f ca="1">DATEDIF('DATA PENDUDUK'!$G689,TODAY(),"Y")&amp; " TAHUN"</f>
        <v>28 TAHUN</v>
      </c>
      <c r="L689" s="24" t="s">
        <v>1303</v>
      </c>
    </row>
    <row r="690" spans="1:12" ht="20.100000000000001" customHeight="1" x14ac:dyDescent="0.25">
      <c r="A690" s="8">
        <f t="shared" si="10"/>
        <v>687</v>
      </c>
      <c r="B690" s="21" t="s">
        <v>1688</v>
      </c>
      <c r="C690" s="21" t="s">
        <v>1704</v>
      </c>
      <c r="D690" s="22" t="s">
        <v>1705</v>
      </c>
      <c r="E690" s="22" t="s">
        <v>1306</v>
      </c>
      <c r="F690" s="22" t="s">
        <v>30</v>
      </c>
      <c r="G690" s="23">
        <v>37401</v>
      </c>
      <c r="H690" s="22" t="s">
        <v>438</v>
      </c>
      <c r="I690" s="22" t="s">
        <v>40</v>
      </c>
      <c r="J690" s="22" t="s">
        <v>37</v>
      </c>
      <c r="K690" s="10" t="str">
        <f ca="1">DATEDIF('DATA PENDUDUK'!$G690,TODAY(),"Y")&amp; " TAHUN"</f>
        <v>23 TAHUN</v>
      </c>
      <c r="L690" s="24" t="s">
        <v>1303</v>
      </c>
    </row>
    <row r="691" spans="1:12" ht="20.100000000000001" customHeight="1" x14ac:dyDescent="0.25">
      <c r="A691" s="8">
        <f t="shared" si="10"/>
        <v>688</v>
      </c>
      <c r="B691" s="21" t="s">
        <v>1688</v>
      </c>
      <c r="C691" s="21" t="s">
        <v>1706</v>
      </c>
      <c r="D691" s="22" t="s">
        <v>1707</v>
      </c>
      <c r="E691" s="22" t="s">
        <v>1306</v>
      </c>
      <c r="F691" s="22" t="s">
        <v>30</v>
      </c>
      <c r="G691" s="23">
        <v>37690</v>
      </c>
      <c r="H691" s="22" t="s">
        <v>438</v>
      </c>
      <c r="I691" s="22" t="s">
        <v>40</v>
      </c>
      <c r="J691" s="22" t="s">
        <v>37</v>
      </c>
      <c r="K691" s="10" t="str">
        <f ca="1">DATEDIF('DATA PENDUDUK'!$G691,TODAY(),"Y")&amp; " TAHUN"</f>
        <v>22 TAHUN</v>
      </c>
      <c r="L691" s="24" t="s">
        <v>1303</v>
      </c>
    </row>
    <row r="692" spans="1:12" ht="20.100000000000001" customHeight="1" x14ac:dyDescent="0.25">
      <c r="A692" s="8">
        <f t="shared" si="10"/>
        <v>689</v>
      </c>
      <c r="B692" s="21" t="s">
        <v>1708</v>
      </c>
      <c r="C692" s="21" t="s">
        <v>1709</v>
      </c>
      <c r="D692" s="22" t="s">
        <v>1710</v>
      </c>
      <c r="E692" s="22" t="s">
        <v>671</v>
      </c>
      <c r="F692" s="22" t="s">
        <v>1711</v>
      </c>
      <c r="G692" s="23">
        <v>30917</v>
      </c>
      <c r="H692" s="22" t="s">
        <v>35</v>
      </c>
      <c r="I692" s="22" t="s">
        <v>73</v>
      </c>
      <c r="J692" s="22" t="s">
        <v>20</v>
      </c>
      <c r="K692" s="10" t="str">
        <f ca="1">DATEDIF('DATA PENDUDUK'!$G692,TODAY(),"Y")&amp; " TAHUN"</f>
        <v>40 TAHUN</v>
      </c>
      <c r="L692" s="24" t="s">
        <v>1303</v>
      </c>
    </row>
    <row r="693" spans="1:12" ht="20.100000000000001" customHeight="1" x14ac:dyDescent="0.25">
      <c r="A693" s="8">
        <f t="shared" si="10"/>
        <v>690</v>
      </c>
      <c r="B693" s="21" t="s">
        <v>1708</v>
      </c>
      <c r="C693" s="21" t="s">
        <v>1712</v>
      </c>
      <c r="D693" s="22" t="s">
        <v>1713</v>
      </c>
      <c r="E693" s="22" t="s">
        <v>1306</v>
      </c>
      <c r="F693" s="22" t="s">
        <v>1714</v>
      </c>
      <c r="G693" s="23">
        <v>33269</v>
      </c>
      <c r="H693" s="22" t="s">
        <v>35</v>
      </c>
      <c r="I693" s="22" t="s">
        <v>26</v>
      </c>
      <c r="J693" s="22" t="s">
        <v>27</v>
      </c>
      <c r="K693" s="10" t="str">
        <f ca="1">DATEDIF('DATA PENDUDUK'!$G693,TODAY(),"Y")&amp; " TAHUN"</f>
        <v>34 TAHUN</v>
      </c>
      <c r="L693" s="24" t="s">
        <v>1303</v>
      </c>
    </row>
    <row r="694" spans="1:12" ht="20.100000000000001" customHeight="1" x14ac:dyDescent="0.25">
      <c r="A694" s="8">
        <f t="shared" si="10"/>
        <v>691</v>
      </c>
      <c r="B694" s="21" t="s">
        <v>1708</v>
      </c>
      <c r="C694" s="21" t="s">
        <v>1715</v>
      </c>
      <c r="D694" s="22" t="s">
        <v>1716</v>
      </c>
      <c r="E694" s="22" t="s">
        <v>1306</v>
      </c>
      <c r="F694" s="22" t="s">
        <v>30</v>
      </c>
      <c r="G694" s="23">
        <v>42046</v>
      </c>
      <c r="H694" s="22" t="s">
        <v>35</v>
      </c>
      <c r="I694" s="22" t="s">
        <v>31</v>
      </c>
      <c r="J694" s="22" t="s">
        <v>32</v>
      </c>
      <c r="K694" s="10" t="str">
        <f ca="1">DATEDIF('DATA PENDUDUK'!$G694,TODAY(),"Y")&amp; " TAHUN"</f>
        <v>10 TAHUN</v>
      </c>
      <c r="L694" s="24" t="s">
        <v>1303</v>
      </c>
    </row>
    <row r="695" spans="1:12" ht="20.100000000000001" customHeight="1" x14ac:dyDescent="0.25">
      <c r="A695" s="8">
        <f t="shared" si="10"/>
        <v>692</v>
      </c>
      <c r="B695" s="21" t="s">
        <v>1708</v>
      </c>
      <c r="C695" s="21" t="s">
        <v>1717</v>
      </c>
      <c r="D695" s="22" t="s">
        <v>1718</v>
      </c>
      <c r="E695" s="22" t="s">
        <v>1306</v>
      </c>
      <c r="F695" s="22" t="s">
        <v>30</v>
      </c>
      <c r="G695" s="23">
        <v>42384</v>
      </c>
      <c r="H695" s="22" t="s">
        <v>35</v>
      </c>
      <c r="I695" s="22" t="s">
        <v>31</v>
      </c>
      <c r="J695" s="22" t="s">
        <v>32</v>
      </c>
      <c r="K695" s="10" t="str">
        <f ca="1">DATEDIF('DATA PENDUDUK'!$G695,TODAY(),"Y")&amp; " TAHUN"</f>
        <v>9 TAHUN</v>
      </c>
      <c r="L695" s="24" t="s">
        <v>1303</v>
      </c>
    </row>
    <row r="696" spans="1:12" ht="20.100000000000001" customHeight="1" x14ac:dyDescent="0.25">
      <c r="A696" s="8">
        <f t="shared" si="10"/>
        <v>693</v>
      </c>
      <c r="B696" s="21" t="s">
        <v>1719</v>
      </c>
      <c r="C696" s="21" t="s">
        <v>1720</v>
      </c>
      <c r="D696" s="22" t="s">
        <v>1721</v>
      </c>
      <c r="E696" s="22" t="s">
        <v>1306</v>
      </c>
      <c r="F696" s="22" t="s">
        <v>1722</v>
      </c>
      <c r="G696" s="23">
        <v>23918</v>
      </c>
      <c r="H696" s="22" t="s">
        <v>35</v>
      </c>
      <c r="I696" s="22" t="s">
        <v>1302</v>
      </c>
      <c r="J696" s="22" t="s">
        <v>20</v>
      </c>
      <c r="K696" s="10" t="str">
        <f ca="1">DATEDIF('DATA PENDUDUK'!$G696,TODAY(),"Y")&amp; " TAHUN"</f>
        <v>60 TAHUN</v>
      </c>
      <c r="L696" s="24" t="s">
        <v>1303</v>
      </c>
    </row>
    <row r="697" spans="1:12" ht="20.100000000000001" customHeight="1" x14ac:dyDescent="0.25">
      <c r="A697" s="8">
        <f t="shared" si="10"/>
        <v>694</v>
      </c>
      <c r="B697" s="21" t="s">
        <v>1719</v>
      </c>
      <c r="C697" s="21" t="s">
        <v>1723</v>
      </c>
      <c r="D697" s="22" t="s">
        <v>1724</v>
      </c>
      <c r="E697" s="22" t="s">
        <v>671</v>
      </c>
      <c r="F697" s="22" t="s">
        <v>1725</v>
      </c>
      <c r="G697" s="23">
        <v>35637</v>
      </c>
      <c r="H697" s="22" t="s">
        <v>35</v>
      </c>
      <c r="I697" s="22" t="s">
        <v>40</v>
      </c>
      <c r="J697" s="22" t="s">
        <v>32</v>
      </c>
      <c r="K697" s="10" t="str">
        <f ca="1">DATEDIF('DATA PENDUDUK'!$G697,TODAY(),"Y")&amp; " TAHUN"</f>
        <v>27 TAHUN</v>
      </c>
      <c r="L697" s="24" t="s">
        <v>1303</v>
      </c>
    </row>
    <row r="698" spans="1:12" ht="20.100000000000001" customHeight="1" x14ac:dyDescent="0.25">
      <c r="A698" s="8">
        <f t="shared" si="10"/>
        <v>695</v>
      </c>
      <c r="B698" s="21" t="s">
        <v>1719</v>
      </c>
      <c r="C698" s="21" t="s">
        <v>1726</v>
      </c>
      <c r="D698" s="22" t="s">
        <v>1727</v>
      </c>
      <c r="E698" s="22" t="s">
        <v>671</v>
      </c>
      <c r="F698" s="22" t="s">
        <v>1728</v>
      </c>
      <c r="G698" s="23">
        <v>37749</v>
      </c>
      <c r="H698" s="22" t="s">
        <v>35</v>
      </c>
      <c r="I698" s="22" t="s">
        <v>40</v>
      </c>
      <c r="J698" s="22" t="s">
        <v>32</v>
      </c>
      <c r="K698" s="10" t="str">
        <f ca="1">DATEDIF('DATA PENDUDUK'!$G698,TODAY(),"Y")&amp; " TAHUN"</f>
        <v>22 TAHUN</v>
      </c>
      <c r="L698" s="24" t="s">
        <v>1303</v>
      </c>
    </row>
    <row r="699" spans="1:12" ht="20.100000000000001" customHeight="1" x14ac:dyDescent="0.25">
      <c r="A699" s="8">
        <f t="shared" si="10"/>
        <v>696</v>
      </c>
      <c r="B699" s="21" t="s">
        <v>1729</v>
      </c>
      <c r="C699" s="21" t="s">
        <v>1730</v>
      </c>
      <c r="D699" s="22" t="s">
        <v>1731</v>
      </c>
      <c r="E699" s="22" t="s">
        <v>671</v>
      </c>
      <c r="F699" s="22" t="s">
        <v>205</v>
      </c>
      <c r="G699" s="23">
        <v>26733</v>
      </c>
      <c r="H699" s="22" t="s">
        <v>35</v>
      </c>
      <c r="I699" s="22" t="s">
        <v>36</v>
      </c>
      <c r="J699" s="22" t="s">
        <v>20</v>
      </c>
      <c r="K699" s="10" t="str">
        <f ca="1">DATEDIF('DATA PENDUDUK'!$G699,TODAY(),"Y")&amp; " TAHUN"</f>
        <v>52 TAHUN</v>
      </c>
      <c r="L699" s="24" t="s">
        <v>1303</v>
      </c>
    </row>
    <row r="700" spans="1:12" ht="20.100000000000001" customHeight="1" x14ac:dyDescent="0.25">
      <c r="A700" s="8">
        <f t="shared" si="10"/>
        <v>697</v>
      </c>
      <c r="B700" s="21" t="s">
        <v>1729</v>
      </c>
      <c r="C700" s="21" t="s">
        <v>1732</v>
      </c>
      <c r="D700" s="22" t="s">
        <v>1733</v>
      </c>
      <c r="E700" s="22" t="s">
        <v>1306</v>
      </c>
      <c r="F700" s="22" t="s">
        <v>1642</v>
      </c>
      <c r="G700" s="23">
        <v>28672</v>
      </c>
      <c r="H700" s="22" t="s">
        <v>35</v>
      </c>
      <c r="I700" s="22" t="s">
        <v>26</v>
      </c>
      <c r="J700" s="22" t="s">
        <v>27</v>
      </c>
      <c r="K700" s="10" t="str">
        <f ca="1">DATEDIF('DATA PENDUDUK'!$G700,TODAY(),"Y")&amp; " TAHUN"</f>
        <v>47 TAHUN</v>
      </c>
      <c r="L700" s="24" t="s">
        <v>1303</v>
      </c>
    </row>
    <row r="701" spans="1:12" ht="20.100000000000001" customHeight="1" x14ac:dyDescent="0.25">
      <c r="A701" s="8">
        <f t="shared" si="10"/>
        <v>698</v>
      </c>
      <c r="B701" s="21" t="s">
        <v>1729</v>
      </c>
      <c r="C701" s="21" t="s">
        <v>1734</v>
      </c>
      <c r="D701" s="22" t="s">
        <v>1735</v>
      </c>
      <c r="E701" s="22" t="s">
        <v>671</v>
      </c>
      <c r="F701" s="22" t="s">
        <v>30</v>
      </c>
      <c r="G701" s="23">
        <v>38766</v>
      </c>
      <c r="H701" s="22" t="s">
        <v>35</v>
      </c>
      <c r="I701" s="22" t="s">
        <v>31</v>
      </c>
      <c r="J701" s="22" t="s">
        <v>32</v>
      </c>
      <c r="K701" s="10" t="str">
        <f ca="1">DATEDIF('DATA PENDUDUK'!$G701,TODAY(),"Y")&amp; " TAHUN"</f>
        <v>19 TAHUN</v>
      </c>
      <c r="L701" s="24" t="s">
        <v>1303</v>
      </c>
    </row>
    <row r="702" spans="1:12" ht="20.100000000000001" customHeight="1" x14ac:dyDescent="0.25">
      <c r="A702" s="8">
        <f t="shared" si="10"/>
        <v>699</v>
      </c>
      <c r="B702" s="21" t="s">
        <v>1729</v>
      </c>
      <c r="C702" s="21" t="s">
        <v>1736</v>
      </c>
      <c r="D702" s="22" t="s">
        <v>1737</v>
      </c>
      <c r="E702" s="22" t="s">
        <v>671</v>
      </c>
      <c r="F702" s="22" t="s">
        <v>30</v>
      </c>
      <c r="G702" s="23">
        <v>40004</v>
      </c>
      <c r="H702" s="22" t="s">
        <v>35</v>
      </c>
      <c r="I702" s="22" t="s">
        <v>40</v>
      </c>
      <c r="J702" s="22" t="s">
        <v>32</v>
      </c>
      <c r="K702" s="10" t="str">
        <f ca="1">DATEDIF('DATA PENDUDUK'!$G702,TODAY(),"Y")&amp; " TAHUN"</f>
        <v>16 TAHUN</v>
      </c>
      <c r="L702" s="24" t="s">
        <v>1303</v>
      </c>
    </row>
    <row r="703" spans="1:12" ht="20.100000000000001" customHeight="1" x14ac:dyDescent="0.25">
      <c r="A703" s="8">
        <f t="shared" si="10"/>
        <v>700</v>
      </c>
      <c r="B703" s="21" t="s">
        <v>1729</v>
      </c>
      <c r="C703" s="21" t="s">
        <v>1738</v>
      </c>
      <c r="D703" s="22" t="s">
        <v>1739</v>
      </c>
      <c r="E703" s="22" t="s">
        <v>1306</v>
      </c>
      <c r="F703" s="22" t="s">
        <v>30</v>
      </c>
      <c r="G703" s="23">
        <v>40826</v>
      </c>
      <c r="H703" s="22" t="s">
        <v>35</v>
      </c>
      <c r="I703" s="22" t="s">
        <v>31</v>
      </c>
      <c r="J703" s="22" t="s">
        <v>32</v>
      </c>
      <c r="K703" s="10" t="str">
        <f ca="1">DATEDIF('DATA PENDUDUK'!$G703,TODAY(),"Y")&amp; " TAHUN"</f>
        <v>13 TAHUN</v>
      </c>
      <c r="L703" s="24" t="s">
        <v>1303</v>
      </c>
    </row>
    <row r="704" spans="1:12" ht="20.100000000000001" customHeight="1" x14ac:dyDescent="0.25">
      <c r="A704" s="8">
        <f t="shared" si="10"/>
        <v>701</v>
      </c>
      <c r="B704" s="21" t="s">
        <v>1740</v>
      </c>
      <c r="C704" s="21" t="s">
        <v>1741</v>
      </c>
      <c r="D704" s="22" t="s">
        <v>1742</v>
      </c>
      <c r="E704" s="22" t="s">
        <v>1306</v>
      </c>
      <c r="F704" s="22" t="s">
        <v>1743</v>
      </c>
      <c r="G704" s="23">
        <v>27821</v>
      </c>
      <c r="H704" s="22" t="s">
        <v>438</v>
      </c>
      <c r="I704" s="22" t="s">
        <v>26</v>
      </c>
      <c r="J704" s="22" t="s">
        <v>20</v>
      </c>
      <c r="K704" s="10" t="str">
        <f ca="1">DATEDIF('DATA PENDUDUK'!$G704,TODAY(),"Y")&amp; " TAHUN"</f>
        <v>49 TAHUN</v>
      </c>
      <c r="L704" s="24" t="s">
        <v>1303</v>
      </c>
    </row>
    <row r="705" spans="1:12" ht="20.100000000000001" customHeight="1" x14ac:dyDescent="0.25">
      <c r="A705" s="8">
        <f t="shared" si="10"/>
        <v>702</v>
      </c>
      <c r="B705" s="21" t="s">
        <v>1744</v>
      </c>
      <c r="C705" s="21" t="s">
        <v>1745</v>
      </c>
      <c r="D705" s="22" t="s">
        <v>1746</v>
      </c>
      <c r="E705" s="22" t="s">
        <v>671</v>
      </c>
      <c r="F705" s="22" t="s">
        <v>1747</v>
      </c>
      <c r="G705" s="23">
        <v>26755</v>
      </c>
      <c r="H705" s="22" t="s">
        <v>35</v>
      </c>
      <c r="I705" s="22" t="s">
        <v>1512</v>
      </c>
      <c r="J705" s="22" t="s">
        <v>20</v>
      </c>
      <c r="K705" s="10" t="str">
        <f ca="1">DATEDIF('DATA PENDUDUK'!$G705,TODAY(),"Y")&amp; " TAHUN"</f>
        <v>52 TAHUN</v>
      </c>
      <c r="L705" s="24" t="s">
        <v>1303</v>
      </c>
    </row>
    <row r="706" spans="1:12" ht="20.100000000000001" customHeight="1" x14ac:dyDescent="0.25">
      <c r="A706" s="8">
        <f t="shared" si="10"/>
        <v>703</v>
      </c>
      <c r="B706" s="21" t="s">
        <v>1744</v>
      </c>
      <c r="C706" s="21" t="s">
        <v>1748</v>
      </c>
      <c r="D706" s="22" t="s">
        <v>1749</v>
      </c>
      <c r="E706" s="22" t="s">
        <v>1306</v>
      </c>
      <c r="F706" s="22" t="s">
        <v>1476</v>
      </c>
      <c r="G706" s="23">
        <v>27822</v>
      </c>
      <c r="H706" s="22" t="s">
        <v>35</v>
      </c>
      <c r="I706" s="22" t="s">
        <v>26</v>
      </c>
      <c r="J706" s="22" t="s">
        <v>27</v>
      </c>
      <c r="K706" s="10" t="str">
        <f ca="1">DATEDIF('DATA PENDUDUK'!$G706,TODAY(),"Y")&amp; " TAHUN"</f>
        <v>49 TAHUN</v>
      </c>
      <c r="L706" s="24" t="s">
        <v>1303</v>
      </c>
    </row>
    <row r="707" spans="1:12" ht="20.100000000000001" customHeight="1" x14ac:dyDescent="0.25">
      <c r="A707" s="8">
        <f t="shared" si="10"/>
        <v>704</v>
      </c>
      <c r="B707" s="21" t="s">
        <v>1744</v>
      </c>
      <c r="C707" s="21" t="s">
        <v>1750</v>
      </c>
      <c r="D707" s="22" t="s">
        <v>1751</v>
      </c>
      <c r="E707" s="22" t="s">
        <v>1306</v>
      </c>
      <c r="F707" s="22" t="s">
        <v>134</v>
      </c>
      <c r="G707" s="23">
        <v>36028</v>
      </c>
      <c r="H707" s="22" t="s">
        <v>35</v>
      </c>
      <c r="I707" s="22" t="s">
        <v>40</v>
      </c>
      <c r="J707" s="22" t="s">
        <v>32</v>
      </c>
      <c r="K707" s="10" t="str">
        <f ca="1">DATEDIF('DATA PENDUDUK'!$G707,TODAY(),"Y")&amp; " TAHUN"</f>
        <v>26 TAHUN</v>
      </c>
      <c r="L707" s="24" t="s">
        <v>1303</v>
      </c>
    </row>
    <row r="708" spans="1:12" ht="20.100000000000001" customHeight="1" x14ac:dyDescent="0.25">
      <c r="A708" s="8">
        <f t="shared" si="10"/>
        <v>705</v>
      </c>
      <c r="B708" s="21" t="s">
        <v>1744</v>
      </c>
      <c r="C708" s="21" t="s">
        <v>1752</v>
      </c>
      <c r="D708" s="22" t="s">
        <v>1753</v>
      </c>
      <c r="E708" s="22" t="s">
        <v>671</v>
      </c>
      <c r="F708" s="22" t="s">
        <v>134</v>
      </c>
      <c r="G708" s="23">
        <v>37096</v>
      </c>
      <c r="H708" s="22" t="s">
        <v>35</v>
      </c>
      <c r="I708" s="22" t="s">
        <v>40</v>
      </c>
      <c r="J708" s="22" t="s">
        <v>32</v>
      </c>
      <c r="K708" s="10" t="str">
        <f ca="1">DATEDIF('DATA PENDUDUK'!$G708,TODAY(),"Y")&amp; " TAHUN"</f>
        <v>24 TAHUN</v>
      </c>
      <c r="L708" s="24" t="s">
        <v>1303</v>
      </c>
    </row>
    <row r="709" spans="1:12" ht="20.100000000000001" customHeight="1" x14ac:dyDescent="0.25">
      <c r="A709" s="8">
        <f t="shared" si="10"/>
        <v>706</v>
      </c>
      <c r="B709" s="21" t="s">
        <v>1744</v>
      </c>
      <c r="C709" s="21" t="s">
        <v>1754</v>
      </c>
      <c r="D709" s="22" t="s">
        <v>1755</v>
      </c>
      <c r="E709" s="22" t="s">
        <v>671</v>
      </c>
      <c r="F709" s="22" t="s">
        <v>1756</v>
      </c>
      <c r="G709" s="23">
        <v>38225</v>
      </c>
      <c r="H709" s="22" t="s">
        <v>35</v>
      </c>
      <c r="I709" s="22" t="s">
        <v>31</v>
      </c>
      <c r="J709" s="22" t="s">
        <v>32</v>
      </c>
      <c r="K709" s="10" t="str">
        <f ca="1">DATEDIF('DATA PENDUDUK'!$G709,TODAY(),"Y")&amp; " TAHUN"</f>
        <v>20 TAHUN</v>
      </c>
      <c r="L709" s="24" t="s">
        <v>1303</v>
      </c>
    </row>
    <row r="710" spans="1:12" ht="20.100000000000001" customHeight="1" x14ac:dyDescent="0.25">
      <c r="A710" s="8">
        <f t="shared" ref="A710:A773" si="11">IF(D710="","",ROW()-3)</f>
        <v>707</v>
      </c>
      <c r="B710" s="21" t="s">
        <v>1744</v>
      </c>
      <c r="C710" s="21" t="s">
        <v>1757</v>
      </c>
      <c r="D710" s="22" t="s">
        <v>1758</v>
      </c>
      <c r="E710" s="22" t="s">
        <v>671</v>
      </c>
      <c r="F710" s="22" t="s">
        <v>134</v>
      </c>
      <c r="G710" s="23">
        <v>39756</v>
      </c>
      <c r="H710" s="22" t="s">
        <v>35</v>
      </c>
      <c r="I710" s="22" t="s">
        <v>31</v>
      </c>
      <c r="J710" s="22" t="s">
        <v>32</v>
      </c>
      <c r="K710" s="10" t="str">
        <f ca="1">DATEDIF('DATA PENDUDUK'!$G710,TODAY(),"Y")&amp; " TAHUN"</f>
        <v>16 TAHUN</v>
      </c>
      <c r="L710" s="24" t="s">
        <v>1303</v>
      </c>
    </row>
    <row r="711" spans="1:12" ht="20.100000000000001" customHeight="1" x14ac:dyDescent="0.25">
      <c r="A711" s="8">
        <f t="shared" si="11"/>
        <v>708</v>
      </c>
      <c r="B711" s="21" t="s">
        <v>1744</v>
      </c>
      <c r="C711" s="21" t="s">
        <v>1759</v>
      </c>
      <c r="D711" s="22" t="s">
        <v>1760</v>
      </c>
      <c r="E711" s="22" t="s">
        <v>1306</v>
      </c>
      <c r="F711" s="22" t="s">
        <v>818</v>
      </c>
      <c r="G711" s="23">
        <v>41468</v>
      </c>
      <c r="H711" s="22" t="s">
        <v>35</v>
      </c>
      <c r="I711" s="22" t="s">
        <v>31</v>
      </c>
      <c r="J711" s="22" t="s">
        <v>32</v>
      </c>
      <c r="K711" s="10" t="str">
        <f ca="1">DATEDIF('DATA PENDUDUK'!$G711,TODAY(),"Y")&amp; " TAHUN"</f>
        <v>12 TAHUN</v>
      </c>
      <c r="L711" s="24" t="s">
        <v>1303</v>
      </c>
    </row>
    <row r="712" spans="1:12" ht="20.100000000000001" customHeight="1" x14ac:dyDescent="0.25">
      <c r="A712" s="8">
        <f t="shared" si="11"/>
        <v>709</v>
      </c>
      <c r="B712" s="21" t="s">
        <v>1761</v>
      </c>
      <c r="C712" s="21" t="s">
        <v>1762</v>
      </c>
      <c r="D712" s="22" t="s">
        <v>1763</v>
      </c>
      <c r="E712" s="22" t="s">
        <v>671</v>
      </c>
      <c r="F712" s="22" t="s">
        <v>1764</v>
      </c>
      <c r="G712" s="23">
        <v>29407</v>
      </c>
      <c r="H712" s="22" t="s">
        <v>438</v>
      </c>
      <c r="I712" s="22" t="s">
        <v>36</v>
      </c>
      <c r="J712" s="22" t="s">
        <v>20</v>
      </c>
      <c r="K712" s="10" t="str">
        <f ca="1">DATEDIF('DATA PENDUDUK'!$G712,TODAY(),"Y")&amp; " TAHUN"</f>
        <v>45 TAHUN</v>
      </c>
      <c r="L712" s="24" t="s">
        <v>1303</v>
      </c>
    </row>
    <row r="713" spans="1:12" ht="20.100000000000001" customHeight="1" x14ac:dyDescent="0.25">
      <c r="A713" s="8">
        <f t="shared" si="11"/>
        <v>710</v>
      </c>
      <c r="B713" s="21" t="s">
        <v>1761</v>
      </c>
      <c r="C713" s="21" t="s">
        <v>1765</v>
      </c>
      <c r="D713" s="22" t="s">
        <v>1766</v>
      </c>
      <c r="E713" s="22" t="s">
        <v>1306</v>
      </c>
      <c r="F713" s="22" t="s">
        <v>863</v>
      </c>
      <c r="G713" s="23">
        <v>30610</v>
      </c>
      <c r="H713" s="22" t="s">
        <v>438</v>
      </c>
      <c r="I713" s="22" t="s">
        <v>26</v>
      </c>
      <c r="J713" s="22" t="s">
        <v>27</v>
      </c>
      <c r="K713" s="10" t="str">
        <f ca="1">DATEDIF('DATA PENDUDUK'!$G713,TODAY(),"Y")&amp; " TAHUN"</f>
        <v>41 TAHUN</v>
      </c>
      <c r="L713" s="24" t="s">
        <v>1303</v>
      </c>
    </row>
    <row r="714" spans="1:12" ht="20.100000000000001" customHeight="1" x14ac:dyDescent="0.25">
      <c r="A714" s="8">
        <f t="shared" si="11"/>
        <v>711</v>
      </c>
      <c r="B714" s="21" t="s">
        <v>1761</v>
      </c>
      <c r="C714" s="21" t="s">
        <v>1767</v>
      </c>
      <c r="D714" s="22" t="s">
        <v>1768</v>
      </c>
      <c r="E714" s="22" t="s">
        <v>1306</v>
      </c>
      <c r="F714" s="22" t="s">
        <v>376</v>
      </c>
      <c r="G714" s="23">
        <v>38658</v>
      </c>
      <c r="H714" s="22" t="s">
        <v>438</v>
      </c>
      <c r="I714" s="22" t="s">
        <v>31</v>
      </c>
      <c r="J714" s="22" t="s">
        <v>32</v>
      </c>
      <c r="K714" s="10" t="str">
        <f ca="1">DATEDIF('DATA PENDUDUK'!$G714,TODAY(),"Y")&amp; " TAHUN"</f>
        <v>19 TAHUN</v>
      </c>
      <c r="L714" s="24" t="s">
        <v>1303</v>
      </c>
    </row>
    <row r="715" spans="1:12" ht="20.100000000000001" customHeight="1" x14ac:dyDescent="0.25">
      <c r="A715" s="8">
        <f t="shared" si="11"/>
        <v>712</v>
      </c>
      <c r="B715" s="21" t="s">
        <v>1761</v>
      </c>
      <c r="C715" s="21" t="s">
        <v>1769</v>
      </c>
      <c r="D715" s="22" t="s">
        <v>1770</v>
      </c>
      <c r="E715" s="22" t="s">
        <v>1306</v>
      </c>
      <c r="F715" s="22" t="s">
        <v>376</v>
      </c>
      <c r="G715" s="23">
        <v>39282</v>
      </c>
      <c r="H715" s="22" t="s">
        <v>438</v>
      </c>
      <c r="I715" s="22" t="s">
        <v>31</v>
      </c>
      <c r="J715" s="22" t="s">
        <v>32</v>
      </c>
      <c r="K715" s="10" t="str">
        <f ca="1">DATEDIF('DATA PENDUDUK'!$G715,TODAY(),"Y")&amp; " TAHUN"</f>
        <v>18 TAHUN</v>
      </c>
      <c r="L715" s="24" t="s">
        <v>1303</v>
      </c>
    </row>
    <row r="716" spans="1:12" ht="20.100000000000001" customHeight="1" x14ac:dyDescent="0.25">
      <c r="A716" s="8">
        <f t="shared" si="11"/>
        <v>713</v>
      </c>
      <c r="B716" s="21" t="s">
        <v>1761</v>
      </c>
      <c r="C716" s="21" t="s">
        <v>1771</v>
      </c>
      <c r="D716" s="22" t="s">
        <v>1772</v>
      </c>
      <c r="E716" s="22" t="s">
        <v>1306</v>
      </c>
      <c r="F716" s="22" t="s">
        <v>376</v>
      </c>
      <c r="G716" s="23">
        <v>40067</v>
      </c>
      <c r="H716" s="22" t="s">
        <v>438</v>
      </c>
      <c r="I716" s="22" t="s">
        <v>31</v>
      </c>
      <c r="J716" s="22" t="s">
        <v>32</v>
      </c>
      <c r="K716" s="10" t="str">
        <f ca="1">DATEDIF('DATA PENDUDUK'!$G716,TODAY(),"Y")&amp; " TAHUN"</f>
        <v>15 TAHUN</v>
      </c>
      <c r="L716" s="24" t="s">
        <v>1303</v>
      </c>
    </row>
    <row r="717" spans="1:12" ht="20.100000000000001" customHeight="1" x14ac:dyDescent="0.25">
      <c r="A717" s="8">
        <f t="shared" si="11"/>
        <v>714</v>
      </c>
      <c r="B717" s="21" t="s">
        <v>1761</v>
      </c>
      <c r="C717" s="21" t="s">
        <v>1773</v>
      </c>
      <c r="D717" s="22" t="s">
        <v>1774</v>
      </c>
      <c r="E717" s="22" t="s">
        <v>671</v>
      </c>
      <c r="F717" s="22" t="s">
        <v>30</v>
      </c>
      <c r="G717" s="23">
        <v>40506</v>
      </c>
      <c r="H717" s="22" t="s">
        <v>438</v>
      </c>
      <c r="I717" s="22" t="s">
        <v>31</v>
      </c>
      <c r="J717" s="22" t="s">
        <v>32</v>
      </c>
      <c r="K717" s="10" t="str">
        <f ca="1">DATEDIF('DATA PENDUDUK'!$G717,TODAY(),"Y")&amp; " TAHUN"</f>
        <v>14 TAHUN</v>
      </c>
      <c r="L717" s="24" t="s">
        <v>1303</v>
      </c>
    </row>
    <row r="718" spans="1:12" ht="20.100000000000001" customHeight="1" x14ac:dyDescent="0.25">
      <c r="A718" s="8">
        <f t="shared" si="11"/>
        <v>715</v>
      </c>
      <c r="B718" s="21" t="s">
        <v>1761</v>
      </c>
      <c r="C718" s="21" t="s">
        <v>1775</v>
      </c>
      <c r="D718" s="22" t="s">
        <v>1776</v>
      </c>
      <c r="E718" s="22" t="s">
        <v>671</v>
      </c>
      <c r="F718" s="22" t="s">
        <v>30</v>
      </c>
      <c r="G718" s="23">
        <v>41333</v>
      </c>
      <c r="H718" s="22" t="s">
        <v>438</v>
      </c>
      <c r="I718" s="22" t="s">
        <v>31</v>
      </c>
      <c r="J718" s="22" t="s">
        <v>32</v>
      </c>
      <c r="K718" s="10" t="str">
        <f ca="1">DATEDIF('DATA PENDUDUK'!$G718,TODAY(),"Y")&amp; " TAHUN"</f>
        <v>12 TAHUN</v>
      </c>
      <c r="L718" s="24" t="s">
        <v>1303</v>
      </c>
    </row>
    <row r="719" spans="1:12" ht="20.100000000000001" customHeight="1" x14ac:dyDescent="0.25">
      <c r="A719" s="8">
        <f t="shared" si="11"/>
        <v>716</v>
      </c>
      <c r="B719" s="21" t="s">
        <v>1761</v>
      </c>
      <c r="C719" s="21" t="s">
        <v>1777</v>
      </c>
      <c r="D719" s="22" t="s">
        <v>1778</v>
      </c>
      <c r="E719" s="22" t="s">
        <v>671</v>
      </c>
      <c r="F719" s="22" t="s">
        <v>30</v>
      </c>
      <c r="G719" s="23">
        <v>41697</v>
      </c>
      <c r="H719" s="22" t="s">
        <v>438</v>
      </c>
      <c r="I719" s="22" t="s">
        <v>31</v>
      </c>
      <c r="J719" s="22" t="s">
        <v>32</v>
      </c>
      <c r="K719" s="10" t="str">
        <f ca="1">DATEDIF('DATA PENDUDUK'!$G719,TODAY(),"Y")&amp; " TAHUN"</f>
        <v>11 TAHUN</v>
      </c>
      <c r="L719" s="24" t="s">
        <v>1303</v>
      </c>
    </row>
    <row r="720" spans="1:12" ht="20.100000000000001" customHeight="1" x14ac:dyDescent="0.25">
      <c r="A720" s="8">
        <f t="shared" si="11"/>
        <v>717</v>
      </c>
      <c r="B720" s="21" t="s">
        <v>1761</v>
      </c>
      <c r="C720" s="21" t="s">
        <v>1779</v>
      </c>
      <c r="D720" s="22" t="s">
        <v>1780</v>
      </c>
      <c r="E720" s="22" t="s">
        <v>671</v>
      </c>
      <c r="F720" s="22" t="s">
        <v>30</v>
      </c>
      <c r="G720" s="23">
        <v>43137</v>
      </c>
      <c r="H720" s="22" t="s">
        <v>438</v>
      </c>
      <c r="I720" s="22" t="s">
        <v>40</v>
      </c>
      <c r="J720" s="22" t="s">
        <v>32</v>
      </c>
      <c r="K720" s="10" t="str">
        <f ca="1">DATEDIF('DATA PENDUDUK'!$G720,TODAY(),"Y")&amp; " TAHUN"</f>
        <v>7 TAHUN</v>
      </c>
      <c r="L720" s="24" t="s">
        <v>1303</v>
      </c>
    </row>
    <row r="721" spans="1:12" ht="20.100000000000001" customHeight="1" x14ac:dyDescent="0.25">
      <c r="A721" s="8">
        <f t="shared" si="11"/>
        <v>718</v>
      </c>
      <c r="B721" s="21" t="s">
        <v>1781</v>
      </c>
      <c r="C721" s="21" t="s">
        <v>1782</v>
      </c>
      <c r="D721" s="22" t="s">
        <v>1783</v>
      </c>
      <c r="E721" s="22" t="s">
        <v>671</v>
      </c>
      <c r="F721" s="22" t="s">
        <v>1784</v>
      </c>
      <c r="G721" s="23">
        <v>29813</v>
      </c>
      <c r="H721" s="22" t="s">
        <v>35</v>
      </c>
      <c r="I721" s="22" t="s">
        <v>1302</v>
      </c>
      <c r="J721" s="22" t="s">
        <v>20</v>
      </c>
      <c r="K721" s="10" t="str">
        <f ca="1">DATEDIF('DATA PENDUDUK'!$G721,TODAY(),"Y")&amp; " TAHUN"</f>
        <v>43 TAHUN</v>
      </c>
      <c r="L721" s="24" t="s">
        <v>1303</v>
      </c>
    </row>
    <row r="722" spans="1:12" ht="20.100000000000001" customHeight="1" x14ac:dyDescent="0.25">
      <c r="A722" s="8">
        <f t="shared" si="11"/>
        <v>719</v>
      </c>
      <c r="B722" s="21" t="s">
        <v>1781</v>
      </c>
      <c r="C722" s="21" t="s">
        <v>1785</v>
      </c>
      <c r="D722" s="22" t="s">
        <v>1786</v>
      </c>
      <c r="E722" s="22" t="s">
        <v>1306</v>
      </c>
      <c r="F722" s="22" t="s">
        <v>1784</v>
      </c>
      <c r="G722" s="23">
        <v>32757</v>
      </c>
      <c r="H722" s="22" t="s">
        <v>35</v>
      </c>
      <c r="I722" s="22" t="s">
        <v>1302</v>
      </c>
      <c r="J722" s="22" t="s">
        <v>27</v>
      </c>
      <c r="K722" s="10" t="str">
        <f ca="1">DATEDIF('DATA PENDUDUK'!$G722,TODAY(),"Y")&amp; " TAHUN"</f>
        <v>35 TAHUN</v>
      </c>
      <c r="L722" s="24" t="s">
        <v>1303</v>
      </c>
    </row>
    <row r="723" spans="1:12" ht="20.100000000000001" customHeight="1" x14ac:dyDescent="0.25">
      <c r="A723" s="8">
        <f t="shared" si="11"/>
        <v>720</v>
      </c>
      <c r="B723" s="21" t="s">
        <v>1320</v>
      </c>
      <c r="C723" s="21" t="s">
        <v>1321</v>
      </c>
      <c r="D723" s="22" t="s">
        <v>1322</v>
      </c>
      <c r="E723" s="22" t="s">
        <v>1306</v>
      </c>
      <c r="F723" s="22" t="s">
        <v>1323</v>
      </c>
      <c r="G723" s="23">
        <v>34537</v>
      </c>
      <c r="H723" s="22" t="s">
        <v>35</v>
      </c>
      <c r="I723" s="22" t="s">
        <v>40</v>
      </c>
      <c r="J723" s="22" t="s">
        <v>20</v>
      </c>
      <c r="K723" s="10" t="str">
        <f ca="1">DATEDIF('DATA PENDUDUK'!$G723,TODAY(),"Y")&amp; " TAHUN"</f>
        <v>31 TAHUN</v>
      </c>
      <c r="L723" s="24" t="s">
        <v>1303</v>
      </c>
    </row>
    <row r="724" spans="1:12" ht="20.100000000000001" customHeight="1" x14ac:dyDescent="0.25">
      <c r="A724" s="8">
        <f t="shared" si="11"/>
        <v>721</v>
      </c>
      <c r="B724" s="21" t="s">
        <v>1320</v>
      </c>
      <c r="C724" s="21" t="s">
        <v>1787</v>
      </c>
      <c r="D724" s="22" t="s">
        <v>1788</v>
      </c>
      <c r="E724" s="22" t="s">
        <v>1306</v>
      </c>
      <c r="F724" s="22" t="s">
        <v>1323</v>
      </c>
      <c r="G724" s="23">
        <v>37620</v>
      </c>
      <c r="H724" s="22" t="s">
        <v>35</v>
      </c>
      <c r="I724" s="22" t="s">
        <v>40</v>
      </c>
      <c r="J724" s="22" t="s">
        <v>37</v>
      </c>
      <c r="K724" s="10" t="str">
        <f ca="1">DATEDIF('DATA PENDUDUK'!$G724,TODAY(),"Y")&amp; " TAHUN"</f>
        <v>22 TAHUN</v>
      </c>
      <c r="L724" s="24" t="s">
        <v>1303</v>
      </c>
    </row>
    <row r="725" spans="1:12" ht="20.100000000000001" customHeight="1" x14ac:dyDescent="0.25">
      <c r="A725" s="8">
        <f t="shared" si="11"/>
        <v>722</v>
      </c>
      <c r="B725" s="21" t="s">
        <v>1789</v>
      </c>
      <c r="C725" s="21" t="s">
        <v>1790</v>
      </c>
      <c r="D725" s="22" t="s">
        <v>1791</v>
      </c>
      <c r="E725" s="22" t="s">
        <v>671</v>
      </c>
      <c r="F725" s="22" t="s">
        <v>1792</v>
      </c>
      <c r="G725" s="23">
        <v>33276</v>
      </c>
      <c r="H725" s="22" t="s">
        <v>35</v>
      </c>
      <c r="I725" s="22" t="s">
        <v>1302</v>
      </c>
      <c r="J725" s="22" t="s">
        <v>20</v>
      </c>
      <c r="K725" s="10" t="str">
        <f ca="1">DATEDIF('DATA PENDUDUK'!$G725,TODAY(),"Y")&amp; " TAHUN"</f>
        <v>34 TAHUN</v>
      </c>
      <c r="L725" s="24" t="s">
        <v>1303</v>
      </c>
    </row>
    <row r="726" spans="1:12" ht="20.100000000000001" customHeight="1" x14ac:dyDescent="0.25">
      <c r="A726" s="8">
        <f t="shared" si="11"/>
        <v>723</v>
      </c>
      <c r="B726" s="21" t="s">
        <v>1789</v>
      </c>
      <c r="C726" s="21" t="s">
        <v>1793</v>
      </c>
      <c r="D726" s="22" t="s">
        <v>1794</v>
      </c>
      <c r="E726" s="22" t="s">
        <v>1306</v>
      </c>
      <c r="F726" s="22" t="s">
        <v>885</v>
      </c>
      <c r="G726" s="23">
        <v>33627</v>
      </c>
      <c r="H726" s="22" t="s">
        <v>35</v>
      </c>
      <c r="I726" s="22" t="s">
        <v>1795</v>
      </c>
      <c r="J726" s="22" t="s">
        <v>27</v>
      </c>
      <c r="K726" s="10" t="str">
        <f ca="1">DATEDIF('DATA PENDUDUK'!$G726,TODAY(),"Y")&amp; " TAHUN"</f>
        <v>33 TAHUN</v>
      </c>
      <c r="L726" s="24" t="s">
        <v>1303</v>
      </c>
    </row>
    <row r="727" spans="1:12" ht="20.100000000000001" customHeight="1" x14ac:dyDescent="0.25">
      <c r="A727" s="8">
        <f t="shared" si="11"/>
        <v>724</v>
      </c>
      <c r="B727" s="21" t="s">
        <v>1789</v>
      </c>
      <c r="C727" s="21" t="s">
        <v>1796</v>
      </c>
      <c r="D727" s="22" t="s">
        <v>1797</v>
      </c>
      <c r="E727" s="22" t="s">
        <v>671</v>
      </c>
      <c r="F727" s="22" t="s">
        <v>1476</v>
      </c>
      <c r="G727" s="23">
        <v>42879</v>
      </c>
      <c r="H727" s="22" t="s">
        <v>35</v>
      </c>
      <c r="I727" s="22" t="s">
        <v>31</v>
      </c>
      <c r="J727" s="22" t="s">
        <v>32</v>
      </c>
      <c r="K727" s="10" t="str">
        <f ca="1">DATEDIF('DATA PENDUDUK'!$G727,TODAY(),"Y")&amp; " TAHUN"</f>
        <v>8 TAHUN</v>
      </c>
      <c r="L727" s="24" t="s">
        <v>1303</v>
      </c>
    </row>
    <row r="728" spans="1:12" ht="20.100000000000001" customHeight="1" x14ac:dyDescent="0.25">
      <c r="A728" s="8">
        <f t="shared" si="11"/>
        <v>725</v>
      </c>
      <c r="B728" s="21" t="s">
        <v>1798</v>
      </c>
      <c r="C728" s="21" t="s">
        <v>1799</v>
      </c>
      <c r="D728" s="22" t="s">
        <v>1800</v>
      </c>
      <c r="E728" s="22" t="s">
        <v>671</v>
      </c>
      <c r="F728" s="22" t="s">
        <v>1801</v>
      </c>
      <c r="G728" s="23">
        <v>33036</v>
      </c>
      <c r="H728" s="22" t="s">
        <v>35</v>
      </c>
      <c r="I728" s="22" t="s">
        <v>19</v>
      </c>
      <c r="J728" s="22" t="s">
        <v>20</v>
      </c>
      <c r="K728" s="10" t="str">
        <f ca="1">DATEDIF('DATA PENDUDUK'!$G728,TODAY(),"Y")&amp; " TAHUN"</f>
        <v>35 TAHUN</v>
      </c>
      <c r="L728" s="24" t="s">
        <v>1303</v>
      </c>
    </row>
    <row r="729" spans="1:12" ht="20.100000000000001" customHeight="1" x14ac:dyDescent="0.25">
      <c r="A729" s="8">
        <f t="shared" si="11"/>
        <v>726</v>
      </c>
      <c r="B729" s="21" t="s">
        <v>1798</v>
      </c>
      <c r="C729" s="21" t="s">
        <v>1802</v>
      </c>
      <c r="D729" s="22" t="s">
        <v>1803</v>
      </c>
      <c r="E729" s="22" t="s">
        <v>1306</v>
      </c>
      <c r="F729" s="22" t="s">
        <v>629</v>
      </c>
      <c r="G729" s="23">
        <v>31085</v>
      </c>
      <c r="H729" s="22" t="s">
        <v>35</v>
      </c>
      <c r="I729" s="22" t="s">
        <v>1804</v>
      </c>
      <c r="J729" s="22" t="s">
        <v>27</v>
      </c>
      <c r="K729" s="10" t="str">
        <f ca="1">DATEDIF('DATA PENDUDUK'!$G729,TODAY(),"Y")&amp; " TAHUN"</f>
        <v>40 TAHUN</v>
      </c>
      <c r="L729" s="24" t="s">
        <v>1303</v>
      </c>
    </row>
    <row r="730" spans="1:12" ht="20.100000000000001" customHeight="1" x14ac:dyDescent="0.25">
      <c r="A730" s="8">
        <f t="shared" si="11"/>
        <v>727</v>
      </c>
      <c r="B730" s="21" t="s">
        <v>1798</v>
      </c>
      <c r="C730" s="21" t="s">
        <v>1805</v>
      </c>
      <c r="D730" s="22" t="s">
        <v>1806</v>
      </c>
      <c r="E730" s="22" t="s">
        <v>671</v>
      </c>
      <c r="F730" s="22" t="s">
        <v>1476</v>
      </c>
      <c r="G730" s="23">
        <v>38461</v>
      </c>
      <c r="H730" s="22" t="s">
        <v>35</v>
      </c>
      <c r="I730" s="22" t="s">
        <v>31</v>
      </c>
      <c r="J730" s="22" t="s">
        <v>32</v>
      </c>
      <c r="K730" s="10" t="str">
        <f ca="1">DATEDIF('DATA PENDUDUK'!$G730,TODAY(),"Y")&amp; " TAHUN"</f>
        <v>20 TAHUN</v>
      </c>
      <c r="L730" s="24" t="s">
        <v>1303</v>
      </c>
    </row>
    <row r="731" spans="1:12" ht="20.100000000000001" customHeight="1" x14ac:dyDescent="0.25">
      <c r="A731" s="8">
        <f t="shared" si="11"/>
        <v>728</v>
      </c>
      <c r="B731" s="21" t="s">
        <v>1807</v>
      </c>
      <c r="C731" s="21" t="s">
        <v>1808</v>
      </c>
      <c r="D731" s="22" t="s">
        <v>1809</v>
      </c>
      <c r="E731" s="22" t="s">
        <v>671</v>
      </c>
      <c r="F731" s="22" t="s">
        <v>818</v>
      </c>
      <c r="G731" s="23">
        <v>34243</v>
      </c>
      <c r="H731" s="22" t="s">
        <v>35</v>
      </c>
      <c r="I731" s="22" t="s">
        <v>19</v>
      </c>
      <c r="J731" s="22" t="s">
        <v>20</v>
      </c>
      <c r="K731" s="10" t="str">
        <f ca="1">DATEDIF('DATA PENDUDUK'!$G731,TODAY(),"Y")&amp; " TAHUN"</f>
        <v>31 TAHUN</v>
      </c>
      <c r="L731" s="24" t="s">
        <v>1303</v>
      </c>
    </row>
    <row r="732" spans="1:12" ht="20.100000000000001" customHeight="1" x14ac:dyDescent="0.25">
      <c r="A732" s="8">
        <f t="shared" si="11"/>
        <v>729</v>
      </c>
      <c r="B732" s="21" t="s">
        <v>1807</v>
      </c>
      <c r="C732" s="21" t="s">
        <v>1572</v>
      </c>
      <c r="D732" s="22" t="s">
        <v>1573</v>
      </c>
      <c r="E732" s="22" t="s">
        <v>1306</v>
      </c>
      <c r="F732" s="22" t="s">
        <v>1452</v>
      </c>
      <c r="G732" s="23">
        <v>37515</v>
      </c>
      <c r="H732" s="22" t="s">
        <v>35</v>
      </c>
      <c r="I732" s="22" t="s">
        <v>26</v>
      </c>
      <c r="J732" s="22" t="s">
        <v>27</v>
      </c>
      <c r="K732" s="10" t="str">
        <f ca="1">DATEDIF('DATA PENDUDUK'!$G732,TODAY(),"Y")&amp; " TAHUN"</f>
        <v>22 TAHUN</v>
      </c>
      <c r="L732" s="24" t="s">
        <v>1303</v>
      </c>
    </row>
    <row r="733" spans="1:12" ht="20.100000000000001" customHeight="1" x14ac:dyDescent="0.25">
      <c r="A733" s="8">
        <f t="shared" si="11"/>
        <v>730</v>
      </c>
      <c r="B733" s="21" t="s">
        <v>1810</v>
      </c>
      <c r="C733" s="21" t="s">
        <v>1811</v>
      </c>
      <c r="D733" s="22" t="s">
        <v>1812</v>
      </c>
      <c r="E733" s="22" t="s">
        <v>671</v>
      </c>
      <c r="F733" s="22" t="s">
        <v>780</v>
      </c>
      <c r="G733" s="23">
        <v>30835</v>
      </c>
      <c r="H733" s="22" t="s">
        <v>438</v>
      </c>
      <c r="I733" s="22" t="s">
        <v>1813</v>
      </c>
      <c r="J733" s="22" t="s">
        <v>20</v>
      </c>
      <c r="K733" s="10" t="str">
        <f ca="1">DATEDIF('DATA PENDUDUK'!$G733,TODAY(),"Y")&amp; " TAHUN"</f>
        <v>41 TAHUN</v>
      </c>
      <c r="L733" s="24" t="s">
        <v>1303</v>
      </c>
    </row>
    <row r="734" spans="1:12" ht="20.100000000000001" customHeight="1" x14ac:dyDescent="0.25">
      <c r="A734" s="8">
        <f t="shared" si="11"/>
        <v>731</v>
      </c>
      <c r="B734" s="21" t="s">
        <v>1810</v>
      </c>
      <c r="C734" s="21" t="s">
        <v>1814</v>
      </c>
      <c r="D734" s="22" t="s">
        <v>1815</v>
      </c>
      <c r="E734" s="22" t="s">
        <v>1306</v>
      </c>
      <c r="F734" s="22" t="s">
        <v>780</v>
      </c>
      <c r="G734" s="23">
        <v>32275</v>
      </c>
      <c r="H734" s="22" t="s">
        <v>438</v>
      </c>
      <c r="I734" s="22" t="s">
        <v>26</v>
      </c>
      <c r="J734" s="22" t="s">
        <v>27</v>
      </c>
      <c r="K734" s="10" t="str">
        <f ca="1">DATEDIF('DATA PENDUDUK'!$G734,TODAY(),"Y")&amp; " TAHUN"</f>
        <v>37 TAHUN</v>
      </c>
      <c r="L734" s="24" t="s">
        <v>1303</v>
      </c>
    </row>
    <row r="735" spans="1:12" ht="20.100000000000001" customHeight="1" x14ac:dyDescent="0.25">
      <c r="A735" s="8">
        <f t="shared" si="11"/>
        <v>732</v>
      </c>
      <c r="B735" s="21" t="s">
        <v>1810</v>
      </c>
      <c r="C735" s="21" t="s">
        <v>1816</v>
      </c>
      <c r="D735" s="22" t="s">
        <v>1817</v>
      </c>
      <c r="E735" s="22" t="s">
        <v>1306</v>
      </c>
      <c r="F735" s="22" t="s">
        <v>30</v>
      </c>
      <c r="G735" s="23">
        <v>39557</v>
      </c>
      <c r="H735" s="22" t="s">
        <v>438</v>
      </c>
      <c r="I735" s="22" t="s">
        <v>31</v>
      </c>
      <c r="J735" s="22" t="s">
        <v>32</v>
      </c>
      <c r="K735" s="10" t="str">
        <f ca="1">DATEDIF('DATA PENDUDUK'!$G735,TODAY(),"Y")&amp; " TAHUN"</f>
        <v>17 TAHUN</v>
      </c>
      <c r="L735" s="24" t="s">
        <v>1303</v>
      </c>
    </row>
    <row r="736" spans="1:12" ht="20.100000000000001" customHeight="1" x14ac:dyDescent="0.25">
      <c r="A736" s="8">
        <f t="shared" si="11"/>
        <v>733</v>
      </c>
      <c r="B736" s="21" t="s">
        <v>1810</v>
      </c>
      <c r="C736" s="21" t="s">
        <v>1818</v>
      </c>
      <c r="D736" s="22" t="s">
        <v>1819</v>
      </c>
      <c r="E736" s="22" t="s">
        <v>1306</v>
      </c>
      <c r="F736" s="22" t="s">
        <v>30</v>
      </c>
      <c r="G736" s="23">
        <v>37776</v>
      </c>
      <c r="H736" s="22" t="s">
        <v>438</v>
      </c>
      <c r="I736" s="22" t="s">
        <v>40</v>
      </c>
      <c r="J736" s="22" t="s">
        <v>37</v>
      </c>
      <c r="K736" s="10" t="str">
        <f ca="1">DATEDIF('DATA PENDUDUK'!$G736,TODAY(),"Y")&amp; " TAHUN"</f>
        <v>22 TAHUN</v>
      </c>
      <c r="L736" s="24" t="s">
        <v>1303</v>
      </c>
    </row>
    <row r="737" spans="1:12" ht="20.100000000000001" customHeight="1" x14ac:dyDescent="0.25">
      <c r="A737" s="8">
        <f t="shared" si="11"/>
        <v>734</v>
      </c>
      <c r="B737" s="21" t="s">
        <v>1820</v>
      </c>
      <c r="C737" s="21" t="s">
        <v>1821</v>
      </c>
      <c r="D737" s="22" t="s">
        <v>1822</v>
      </c>
      <c r="E737" s="22" t="s">
        <v>671</v>
      </c>
      <c r="F737" s="22" t="s">
        <v>268</v>
      </c>
      <c r="G737" s="23">
        <v>34680</v>
      </c>
      <c r="H737" s="22" t="s">
        <v>35</v>
      </c>
      <c r="I737" s="22" t="s">
        <v>73</v>
      </c>
      <c r="J737" s="22" t="s">
        <v>20</v>
      </c>
      <c r="K737" s="10" t="str">
        <f ca="1">DATEDIF('DATA PENDUDUK'!$G737,TODAY(),"Y")&amp; " TAHUN"</f>
        <v>30 TAHUN</v>
      </c>
      <c r="L737" s="24" t="s">
        <v>1303</v>
      </c>
    </row>
    <row r="738" spans="1:12" ht="20.100000000000001" customHeight="1" x14ac:dyDescent="0.25">
      <c r="A738" s="8">
        <f t="shared" si="11"/>
        <v>735</v>
      </c>
      <c r="B738" s="21" t="s">
        <v>1820</v>
      </c>
      <c r="C738" s="21" t="s">
        <v>1823</v>
      </c>
      <c r="D738" s="22" t="s">
        <v>1824</v>
      </c>
      <c r="E738" s="22" t="s">
        <v>1306</v>
      </c>
      <c r="F738" s="22" t="s">
        <v>1601</v>
      </c>
      <c r="G738" s="23">
        <v>34973</v>
      </c>
      <c r="H738" s="22" t="s">
        <v>35</v>
      </c>
      <c r="I738" s="22" t="s">
        <v>26</v>
      </c>
      <c r="J738" s="22" t="s">
        <v>27</v>
      </c>
      <c r="K738" s="10" t="str">
        <f ca="1">DATEDIF('DATA PENDUDUK'!$G738,TODAY(),"Y")&amp; " TAHUN"</f>
        <v>29 TAHUN</v>
      </c>
      <c r="L738" s="24" t="s">
        <v>1303</v>
      </c>
    </row>
    <row r="739" spans="1:12" ht="20.100000000000001" customHeight="1" x14ac:dyDescent="0.25">
      <c r="A739" s="8">
        <f t="shared" si="11"/>
        <v>736</v>
      </c>
      <c r="B739" s="21" t="s">
        <v>1820</v>
      </c>
      <c r="C739" s="21" t="s">
        <v>1825</v>
      </c>
      <c r="D739" s="22" t="s">
        <v>1826</v>
      </c>
      <c r="E739" s="22" t="s">
        <v>1306</v>
      </c>
      <c r="F739" s="22" t="s">
        <v>30</v>
      </c>
      <c r="G739" s="23">
        <v>44448</v>
      </c>
      <c r="H739" s="22" t="s">
        <v>35</v>
      </c>
      <c r="I739" s="22" t="s">
        <v>40</v>
      </c>
      <c r="J739" s="22" t="s">
        <v>32</v>
      </c>
      <c r="K739" s="10" t="str">
        <f ca="1">DATEDIF('DATA PENDUDUK'!$G739,TODAY(),"Y")&amp; " TAHUN"</f>
        <v>3 TAHUN</v>
      </c>
      <c r="L739" s="24" t="s">
        <v>1303</v>
      </c>
    </row>
    <row r="740" spans="1:12" ht="20.100000000000001" customHeight="1" x14ac:dyDescent="0.25">
      <c r="A740" s="8">
        <f t="shared" si="11"/>
        <v>737</v>
      </c>
      <c r="B740" s="21" t="s">
        <v>1827</v>
      </c>
      <c r="C740" s="21" t="s">
        <v>1828</v>
      </c>
      <c r="D740" s="22" t="s">
        <v>1829</v>
      </c>
      <c r="E740" s="22" t="s">
        <v>671</v>
      </c>
      <c r="F740" s="22" t="s">
        <v>955</v>
      </c>
      <c r="G740" s="23">
        <v>31485</v>
      </c>
      <c r="H740" s="22" t="s">
        <v>438</v>
      </c>
      <c r="I740" s="22" t="s">
        <v>747</v>
      </c>
      <c r="J740" s="22" t="s">
        <v>20</v>
      </c>
      <c r="K740" s="10" t="str">
        <f ca="1">DATEDIF('DATA PENDUDUK'!$G740,TODAY(),"Y")&amp; " TAHUN"</f>
        <v>39 TAHUN</v>
      </c>
      <c r="L740" s="24" t="s">
        <v>1303</v>
      </c>
    </row>
    <row r="741" spans="1:12" ht="20.100000000000001" customHeight="1" x14ac:dyDescent="0.25">
      <c r="A741" s="8">
        <f t="shared" si="11"/>
        <v>738</v>
      </c>
      <c r="B741" s="21" t="s">
        <v>1827</v>
      </c>
      <c r="C741" s="21" t="s">
        <v>1830</v>
      </c>
      <c r="D741" s="22" t="s">
        <v>1831</v>
      </c>
      <c r="E741" s="22" t="s">
        <v>1306</v>
      </c>
      <c r="F741" s="22" t="s">
        <v>1832</v>
      </c>
      <c r="G741" s="23">
        <v>31120</v>
      </c>
      <c r="H741" s="22" t="s">
        <v>438</v>
      </c>
      <c r="I741" s="22" t="s">
        <v>26</v>
      </c>
      <c r="J741" s="22" t="s">
        <v>27</v>
      </c>
      <c r="K741" s="10" t="str">
        <f ca="1">DATEDIF('DATA PENDUDUK'!$G741,TODAY(),"Y")&amp; " TAHUN"</f>
        <v>40 TAHUN</v>
      </c>
      <c r="L741" s="24" t="s">
        <v>1303</v>
      </c>
    </row>
    <row r="742" spans="1:12" ht="20.100000000000001" customHeight="1" x14ac:dyDescent="0.25">
      <c r="A742" s="8">
        <f t="shared" si="11"/>
        <v>739</v>
      </c>
      <c r="B742" s="21" t="s">
        <v>1827</v>
      </c>
      <c r="C742" s="21" t="s">
        <v>1833</v>
      </c>
      <c r="D742" s="22" t="s">
        <v>1834</v>
      </c>
      <c r="E742" s="22" t="s">
        <v>1306</v>
      </c>
      <c r="F742" s="22" t="s">
        <v>30</v>
      </c>
      <c r="G742" s="23">
        <v>37987</v>
      </c>
      <c r="H742" s="22" t="s">
        <v>438</v>
      </c>
      <c r="I742" s="22" t="s">
        <v>40</v>
      </c>
      <c r="J742" s="22" t="s">
        <v>32</v>
      </c>
      <c r="K742" s="10" t="str">
        <f ca="1">DATEDIF('DATA PENDUDUK'!$G742,TODAY(),"Y")&amp; " TAHUN"</f>
        <v>21 TAHUN</v>
      </c>
      <c r="L742" s="24" t="s">
        <v>1303</v>
      </c>
    </row>
    <row r="743" spans="1:12" ht="20.100000000000001" customHeight="1" x14ac:dyDescent="0.25">
      <c r="A743" s="8">
        <f t="shared" si="11"/>
        <v>740</v>
      </c>
      <c r="B743" s="21" t="s">
        <v>1827</v>
      </c>
      <c r="C743" s="21" t="s">
        <v>1835</v>
      </c>
      <c r="D743" s="22" t="s">
        <v>1836</v>
      </c>
      <c r="E743" s="22" t="s">
        <v>671</v>
      </c>
      <c r="F743" s="22" t="s">
        <v>30</v>
      </c>
      <c r="G743" s="23">
        <v>40036</v>
      </c>
      <c r="H743" s="22" t="s">
        <v>438</v>
      </c>
      <c r="I743" s="22" t="s">
        <v>31</v>
      </c>
      <c r="J743" s="22" t="s">
        <v>32</v>
      </c>
      <c r="K743" s="10" t="str">
        <f ca="1">DATEDIF('DATA PENDUDUK'!$G743,TODAY(),"Y")&amp; " TAHUN"</f>
        <v>15 TAHUN</v>
      </c>
      <c r="L743" s="24" t="s">
        <v>1303</v>
      </c>
    </row>
    <row r="744" spans="1:12" ht="20.100000000000001" customHeight="1" x14ac:dyDescent="0.25">
      <c r="A744" s="8">
        <f t="shared" si="11"/>
        <v>741</v>
      </c>
      <c r="B744" s="21" t="s">
        <v>1827</v>
      </c>
      <c r="C744" s="21" t="s">
        <v>1837</v>
      </c>
      <c r="D744" s="22" t="s">
        <v>1838</v>
      </c>
      <c r="E744" s="22" t="s">
        <v>671</v>
      </c>
      <c r="F744" s="22" t="s">
        <v>30</v>
      </c>
      <c r="G744" s="23">
        <v>40393</v>
      </c>
      <c r="H744" s="22" t="s">
        <v>438</v>
      </c>
      <c r="I744" s="22" t="s">
        <v>31</v>
      </c>
      <c r="J744" s="22" t="s">
        <v>32</v>
      </c>
      <c r="K744" s="10" t="str">
        <f ca="1">DATEDIF('DATA PENDUDUK'!$G744,TODAY(),"Y")&amp; " TAHUN"</f>
        <v>14 TAHUN</v>
      </c>
      <c r="L744" s="24" t="s">
        <v>1303</v>
      </c>
    </row>
    <row r="745" spans="1:12" ht="20.100000000000001" customHeight="1" x14ac:dyDescent="0.25">
      <c r="A745" s="8">
        <f t="shared" si="11"/>
        <v>742</v>
      </c>
      <c r="B745" s="21" t="s">
        <v>1827</v>
      </c>
      <c r="C745" s="21" t="s">
        <v>1839</v>
      </c>
      <c r="D745" s="22" t="s">
        <v>1840</v>
      </c>
      <c r="E745" s="22" t="s">
        <v>1306</v>
      </c>
      <c r="F745" s="22" t="s">
        <v>30</v>
      </c>
      <c r="G745" s="23">
        <v>41108</v>
      </c>
      <c r="H745" s="22" t="s">
        <v>438</v>
      </c>
      <c r="I745" s="22" t="s">
        <v>31</v>
      </c>
      <c r="J745" s="22" t="s">
        <v>32</v>
      </c>
      <c r="K745" s="10" t="str">
        <f ca="1">DATEDIF('DATA PENDUDUK'!$G745,TODAY(),"Y")&amp; " TAHUN"</f>
        <v>13 TAHUN</v>
      </c>
      <c r="L745" s="24" t="s">
        <v>1303</v>
      </c>
    </row>
    <row r="746" spans="1:12" ht="20.100000000000001" customHeight="1" x14ac:dyDescent="0.25">
      <c r="A746" s="8">
        <f t="shared" si="11"/>
        <v>743</v>
      </c>
      <c r="B746" s="21" t="s">
        <v>1827</v>
      </c>
      <c r="C746" s="21" t="s">
        <v>1841</v>
      </c>
      <c r="D746" s="22" t="s">
        <v>1842</v>
      </c>
      <c r="E746" s="22" t="s">
        <v>671</v>
      </c>
      <c r="F746" s="22" t="s">
        <v>30</v>
      </c>
      <c r="G746" s="23">
        <v>42452</v>
      </c>
      <c r="H746" s="22" t="s">
        <v>438</v>
      </c>
      <c r="I746" s="22" t="s">
        <v>31</v>
      </c>
      <c r="J746" s="22" t="s">
        <v>32</v>
      </c>
      <c r="K746" s="10" t="str">
        <f ca="1">DATEDIF('DATA PENDUDUK'!$G746,TODAY(),"Y")&amp; " TAHUN"</f>
        <v>9 TAHUN</v>
      </c>
      <c r="L746" s="24" t="s">
        <v>1303</v>
      </c>
    </row>
    <row r="747" spans="1:12" ht="20.100000000000001" customHeight="1" x14ac:dyDescent="0.25">
      <c r="A747" s="8">
        <f t="shared" si="11"/>
        <v>744</v>
      </c>
      <c r="B747" s="21" t="s">
        <v>1827</v>
      </c>
      <c r="C747" s="21" t="s">
        <v>1843</v>
      </c>
      <c r="D747" s="22" t="s">
        <v>1844</v>
      </c>
      <c r="E747" s="22" t="s">
        <v>671</v>
      </c>
      <c r="F747" s="22" t="s">
        <v>30</v>
      </c>
      <c r="G747" s="23">
        <v>43365</v>
      </c>
      <c r="H747" s="22" t="s">
        <v>438</v>
      </c>
      <c r="I747" s="22" t="s">
        <v>40</v>
      </c>
      <c r="J747" s="22" t="s">
        <v>32</v>
      </c>
      <c r="K747" s="10" t="str">
        <f ca="1">DATEDIF('DATA PENDUDUK'!$G747,TODAY(),"Y")&amp; " TAHUN"</f>
        <v>6 TAHUN</v>
      </c>
      <c r="L747" s="24" t="s">
        <v>1303</v>
      </c>
    </row>
    <row r="748" spans="1:12" ht="20.100000000000001" customHeight="1" x14ac:dyDescent="0.25">
      <c r="A748" s="8">
        <f t="shared" si="11"/>
        <v>745</v>
      </c>
      <c r="B748" s="21" t="s">
        <v>1827</v>
      </c>
      <c r="C748" s="21" t="s">
        <v>1845</v>
      </c>
      <c r="D748" s="22" t="s">
        <v>1846</v>
      </c>
      <c r="E748" s="22" t="s">
        <v>1306</v>
      </c>
      <c r="F748" s="22" t="s">
        <v>1847</v>
      </c>
      <c r="G748" s="23">
        <v>36515</v>
      </c>
      <c r="H748" s="22" t="s">
        <v>438</v>
      </c>
      <c r="I748" s="22" t="s">
        <v>40</v>
      </c>
      <c r="J748" s="22" t="s">
        <v>37</v>
      </c>
      <c r="K748" s="10" t="str">
        <f ca="1">DATEDIF('DATA PENDUDUK'!$G748,TODAY(),"Y")&amp; " TAHUN"</f>
        <v>25 TAHUN</v>
      </c>
      <c r="L748" s="24" t="s">
        <v>1303</v>
      </c>
    </row>
    <row r="749" spans="1:12" ht="20.100000000000001" customHeight="1" x14ac:dyDescent="0.25">
      <c r="A749" s="8">
        <f t="shared" si="11"/>
        <v>746</v>
      </c>
      <c r="B749" s="21" t="s">
        <v>1506</v>
      </c>
      <c r="C749" s="21" t="s">
        <v>1507</v>
      </c>
      <c r="D749" s="22" t="s">
        <v>1508</v>
      </c>
      <c r="E749" s="22" t="s">
        <v>671</v>
      </c>
      <c r="F749" s="22" t="s">
        <v>46</v>
      </c>
      <c r="G749" s="23">
        <v>30444</v>
      </c>
      <c r="H749" s="22" t="s">
        <v>35</v>
      </c>
      <c r="I749" s="22" t="s">
        <v>19</v>
      </c>
      <c r="J749" s="22" t="s">
        <v>20</v>
      </c>
      <c r="K749" s="10" t="str">
        <f ca="1">DATEDIF('DATA PENDUDUK'!$G749,TODAY(),"Y")&amp; " TAHUN"</f>
        <v>42 TAHUN</v>
      </c>
      <c r="L749" s="24" t="s">
        <v>1303</v>
      </c>
    </row>
    <row r="750" spans="1:12" ht="20.100000000000001" customHeight="1" x14ac:dyDescent="0.25">
      <c r="A750" s="8">
        <f t="shared" si="11"/>
        <v>747</v>
      </c>
      <c r="B750" s="21" t="s">
        <v>1848</v>
      </c>
      <c r="C750" s="21" t="s">
        <v>1849</v>
      </c>
      <c r="D750" s="22" t="s">
        <v>1850</v>
      </c>
      <c r="E750" s="22" t="s">
        <v>671</v>
      </c>
      <c r="F750" s="22" t="s">
        <v>1597</v>
      </c>
      <c r="G750" s="23">
        <v>29233</v>
      </c>
      <c r="H750" s="22" t="s">
        <v>18</v>
      </c>
      <c r="I750" s="22" t="s">
        <v>40</v>
      </c>
      <c r="J750" s="22" t="s">
        <v>20</v>
      </c>
      <c r="K750" s="10" t="str">
        <f ca="1">DATEDIF('DATA PENDUDUK'!$G750,TODAY(),"Y")&amp; " TAHUN"</f>
        <v>45 TAHUN</v>
      </c>
      <c r="L750" s="24" t="s">
        <v>1303</v>
      </c>
    </row>
    <row r="751" spans="1:12" ht="20.100000000000001" customHeight="1" x14ac:dyDescent="0.25">
      <c r="A751" s="8">
        <f t="shared" si="11"/>
        <v>748</v>
      </c>
      <c r="B751" s="21" t="s">
        <v>1848</v>
      </c>
      <c r="C751" s="21" t="s">
        <v>1851</v>
      </c>
      <c r="D751" s="22" t="s">
        <v>1852</v>
      </c>
      <c r="E751" s="22" t="s">
        <v>1306</v>
      </c>
      <c r="F751" s="22" t="s">
        <v>1853</v>
      </c>
      <c r="G751" s="23">
        <v>27705</v>
      </c>
      <c r="H751" s="22" t="s">
        <v>18</v>
      </c>
      <c r="I751" s="22" t="s">
        <v>26</v>
      </c>
      <c r="J751" s="22" t="s">
        <v>27</v>
      </c>
      <c r="K751" s="10" t="str">
        <f ca="1">DATEDIF('DATA PENDUDUK'!$G751,TODAY(),"Y")&amp; " TAHUN"</f>
        <v>49 TAHUN</v>
      </c>
      <c r="L751" s="24" t="s">
        <v>1303</v>
      </c>
    </row>
    <row r="752" spans="1:12" ht="20.100000000000001" customHeight="1" x14ac:dyDescent="0.25">
      <c r="A752" s="8">
        <f t="shared" si="11"/>
        <v>749</v>
      </c>
      <c r="B752" s="21" t="s">
        <v>1854</v>
      </c>
      <c r="C752" s="21" t="s">
        <v>1855</v>
      </c>
      <c r="D752" s="22" t="s">
        <v>1856</v>
      </c>
      <c r="E752" s="22" t="s">
        <v>671</v>
      </c>
      <c r="F752" s="22" t="s">
        <v>681</v>
      </c>
      <c r="G752" s="23">
        <v>34342</v>
      </c>
      <c r="H752" s="22" t="s">
        <v>438</v>
      </c>
      <c r="I752" s="22" t="s">
        <v>40</v>
      </c>
      <c r="J752" s="22" t="s">
        <v>20</v>
      </c>
      <c r="K752" s="10" t="str">
        <f ca="1">DATEDIF('DATA PENDUDUK'!$G752,TODAY(),"Y")&amp; " TAHUN"</f>
        <v>31 TAHUN</v>
      </c>
      <c r="L752" s="24" t="s">
        <v>1857</v>
      </c>
    </row>
    <row r="753" spans="1:12" ht="20.100000000000001" customHeight="1" x14ac:dyDescent="0.25">
      <c r="A753" s="8">
        <f t="shared" si="11"/>
        <v>750</v>
      </c>
      <c r="B753" s="21" t="s">
        <v>1858</v>
      </c>
      <c r="C753" s="21" t="s">
        <v>1859</v>
      </c>
      <c r="D753" s="22" t="s">
        <v>1860</v>
      </c>
      <c r="E753" s="22" t="s">
        <v>671</v>
      </c>
      <c r="F753" s="22" t="s">
        <v>955</v>
      </c>
      <c r="G753" s="23">
        <v>28312</v>
      </c>
      <c r="H753" s="22" t="s">
        <v>438</v>
      </c>
      <c r="I753" s="22" t="s">
        <v>36</v>
      </c>
      <c r="J753" s="22" t="s">
        <v>20</v>
      </c>
      <c r="K753" s="10" t="str">
        <f ca="1">DATEDIF('DATA PENDUDUK'!$G753,TODAY(),"Y")&amp; " TAHUN"</f>
        <v>48 TAHUN</v>
      </c>
      <c r="L753" s="24" t="s">
        <v>1857</v>
      </c>
    </row>
    <row r="754" spans="1:12" ht="20.100000000000001" customHeight="1" x14ac:dyDescent="0.25">
      <c r="A754" s="8">
        <f t="shared" si="11"/>
        <v>751</v>
      </c>
      <c r="B754" s="21" t="s">
        <v>1858</v>
      </c>
      <c r="C754" s="21" t="s">
        <v>1861</v>
      </c>
      <c r="D754" s="22" t="s">
        <v>1862</v>
      </c>
      <c r="E754" s="22" t="s">
        <v>24</v>
      </c>
      <c r="F754" s="22" t="s">
        <v>955</v>
      </c>
      <c r="G754" s="23">
        <v>26915</v>
      </c>
      <c r="H754" s="22" t="s">
        <v>438</v>
      </c>
      <c r="I754" s="22" t="s">
        <v>26</v>
      </c>
      <c r="J754" s="22" t="s">
        <v>27</v>
      </c>
      <c r="K754" s="10" t="str">
        <f ca="1">DATEDIF('DATA PENDUDUK'!$G754,TODAY(),"Y")&amp; " TAHUN"</f>
        <v>51 TAHUN</v>
      </c>
      <c r="L754" s="24" t="s">
        <v>1857</v>
      </c>
    </row>
    <row r="755" spans="1:12" ht="20.100000000000001" customHeight="1" x14ac:dyDescent="0.25">
      <c r="A755" s="8">
        <f t="shared" si="11"/>
        <v>752</v>
      </c>
      <c r="B755" s="21" t="s">
        <v>1858</v>
      </c>
      <c r="C755" s="21" t="s">
        <v>1863</v>
      </c>
      <c r="D755" s="22" t="s">
        <v>1864</v>
      </c>
      <c r="E755" s="22" t="s">
        <v>24</v>
      </c>
      <c r="F755" s="22" t="s">
        <v>1865</v>
      </c>
      <c r="G755" s="23">
        <v>36062</v>
      </c>
      <c r="H755" s="22" t="s">
        <v>438</v>
      </c>
      <c r="I755" s="22" t="s">
        <v>40</v>
      </c>
      <c r="J755" s="22" t="s">
        <v>32</v>
      </c>
      <c r="K755" s="10" t="str">
        <f ca="1">DATEDIF('DATA PENDUDUK'!$G755,TODAY(),"Y")&amp; " TAHUN"</f>
        <v>26 TAHUN</v>
      </c>
      <c r="L755" s="24" t="s">
        <v>1857</v>
      </c>
    </row>
    <row r="756" spans="1:12" ht="20.100000000000001" customHeight="1" x14ac:dyDescent="0.25">
      <c r="A756" s="8">
        <f t="shared" si="11"/>
        <v>753</v>
      </c>
      <c r="B756" s="21" t="s">
        <v>1858</v>
      </c>
      <c r="C756" s="21" t="s">
        <v>1866</v>
      </c>
      <c r="D756" s="22" t="s">
        <v>1867</v>
      </c>
      <c r="E756" s="22" t="s">
        <v>671</v>
      </c>
      <c r="F756" s="22" t="s">
        <v>1868</v>
      </c>
      <c r="G756" s="23">
        <v>37764</v>
      </c>
      <c r="H756" s="22" t="s">
        <v>438</v>
      </c>
      <c r="I756" s="22" t="s">
        <v>40</v>
      </c>
      <c r="J756" s="22" t="s">
        <v>32</v>
      </c>
      <c r="K756" s="10" t="str">
        <f ca="1">DATEDIF('DATA PENDUDUK'!$G756,TODAY(),"Y")&amp; " TAHUN"</f>
        <v>22 TAHUN</v>
      </c>
      <c r="L756" s="24" t="s">
        <v>1857</v>
      </c>
    </row>
    <row r="757" spans="1:12" ht="20.100000000000001" customHeight="1" x14ac:dyDescent="0.25">
      <c r="A757" s="8">
        <f t="shared" si="11"/>
        <v>754</v>
      </c>
      <c r="B757" s="21" t="s">
        <v>1858</v>
      </c>
      <c r="C757" s="21" t="s">
        <v>1869</v>
      </c>
      <c r="D757" s="22" t="s">
        <v>1870</v>
      </c>
      <c r="E757" s="22" t="s">
        <v>671</v>
      </c>
      <c r="F757" s="22" t="s">
        <v>30</v>
      </c>
      <c r="G757" s="23">
        <v>37899</v>
      </c>
      <c r="H757" s="22" t="s">
        <v>438</v>
      </c>
      <c r="I757" s="22" t="s">
        <v>40</v>
      </c>
      <c r="J757" s="22" t="s">
        <v>32</v>
      </c>
      <c r="K757" s="10" t="str">
        <f ca="1">DATEDIF('DATA PENDUDUK'!$G757,TODAY(),"Y")&amp; " TAHUN"</f>
        <v>21 TAHUN</v>
      </c>
      <c r="L757" s="24" t="s">
        <v>1857</v>
      </c>
    </row>
    <row r="758" spans="1:12" ht="20.100000000000001" customHeight="1" x14ac:dyDescent="0.25">
      <c r="A758" s="8">
        <f t="shared" si="11"/>
        <v>755</v>
      </c>
      <c r="B758" s="21" t="s">
        <v>1858</v>
      </c>
      <c r="C758" s="21" t="s">
        <v>1871</v>
      </c>
      <c r="D758" s="22" t="s">
        <v>1872</v>
      </c>
      <c r="E758" s="22" t="s">
        <v>24</v>
      </c>
      <c r="F758" s="22" t="s">
        <v>30</v>
      </c>
      <c r="G758" s="23">
        <v>37905</v>
      </c>
      <c r="H758" s="22" t="s">
        <v>438</v>
      </c>
      <c r="I758" s="22" t="s">
        <v>40</v>
      </c>
      <c r="J758" s="22" t="s">
        <v>32</v>
      </c>
      <c r="K758" s="10" t="str">
        <f ca="1">DATEDIF('DATA PENDUDUK'!$G758,TODAY(),"Y")&amp; " TAHUN"</f>
        <v>21 TAHUN</v>
      </c>
      <c r="L758" s="24" t="s">
        <v>1857</v>
      </c>
    </row>
    <row r="759" spans="1:12" ht="20.100000000000001" customHeight="1" x14ac:dyDescent="0.25">
      <c r="A759" s="8">
        <f t="shared" si="11"/>
        <v>756</v>
      </c>
      <c r="B759" s="21" t="s">
        <v>1858</v>
      </c>
      <c r="C759" s="21" t="s">
        <v>1873</v>
      </c>
      <c r="D759" s="22" t="s">
        <v>1874</v>
      </c>
      <c r="E759" s="22" t="s">
        <v>671</v>
      </c>
      <c r="F759" s="22" t="s">
        <v>376</v>
      </c>
      <c r="G759" s="23">
        <v>39749</v>
      </c>
      <c r="H759" s="22" t="s">
        <v>438</v>
      </c>
      <c r="I759" s="22" t="s">
        <v>31</v>
      </c>
      <c r="J759" s="22" t="s">
        <v>32</v>
      </c>
      <c r="K759" s="10" t="str">
        <f ca="1">DATEDIF('DATA PENDUDUK'!$G759,TODAY(),"Y")&amp; " TAHUN"</f>
        <v>16 TAHUN</v>
      </c>
      <c r="L759" s="24" t="s">
        <v>1857</v>
      </c>
    </row>
    <row r="760" spans="1:12" ht="20.100000000000001" customHeight="1" x14ac:dyDescent="0.25">
      <c r="A760" s="8">
        <f t="shared" si="11"/>
        <v>757</v>
      </c>
      <c r="B760" s="21" t="s">
        <v>1858</v>
      </c>
      <c r="C760" s="21" t="s">
        <v>1875</v>
      </c>
      <c r="D760" s="22" t="s">
        <v>1876</v>
      </c>
      <c r="E760" s="22" t="s">
        <v>671</v>
      </c>
      <c r="F760" s="22" t="s">
        <v>30</v>
      </c>
      <c r="G760" s="23">
        <v>42885</v>
      </c>
      <c r="H760" s="22" t="s">
        <v>438</v>
      </c>
      <c r="I760" s="22" t="s">
        <v>31</v>
      </c>
      <c r="J760" s="22" t="s">
        <v>32</v>
      </c>
      <c r="K760" s="10" t="str">
        <f ca="1">DATEDIF('DATA PENDUDUK'!$G760,TODAY(),"Y")&amp; " TAHUN"</f>
        <v>8 TAHUN</v>
      </c>
      <c r="L760" s="24" t="s">
        <v>1857</v>
      </c>
    </row>
    <row r="761" spans="1:12" ht="20.100000000000001" customHeight="1" x14ac:dyDescent="0.25">
      <c r="A761" s="8">
        <f t="shared" si="11"/>
        <v>758</v>
      </c>
      <c r="B761" s="21" t="s">
        <v>1877</v>
      </c>
      <c r="C761" s="21" t="s">
        <v>1878</v>
      </c>
      <c r="D761" s="22" t="s">
        <v>1879</v>
      </c>
      <c r="E761" s="22" t="s">
        <v>671</v>
      </c>
      <c r="F761" s="22" t="s">
        <v>863</v>
      </c>
      <c r="G761" s="23">
        <v>29403</v>
      </c>
      <c r="H761" s="22" t="s">
        <v>438</v>
      </c>
      <c r="I761" s="22" t="s">
        <v>36</v>
      </c>
      <c r="J761" s="22" t="s">
        <v>20</v>
      </c>
      <c r="K761" s="10" t="str">
        <f ca="1">DATEDIF('DATA PENDUDUK'!$G761,TODAY(),"Y")&amp; " TAHUN"</f>
        <v>45 TAHUN</v>
      </c>
      <c r="L761" s="24" t="s">
        <v>1857</v>
      </c>
    </row>
    <row r="762" spans="1:12" ht="20.100000000000001" customHeight="1" x14ac:dyDescent="0.25">
      <c r="A762" s="8">
        <f t="shared" si="11"/>
        <v>759</v>
      </c>
      <c r="B762" s="21" t="s">
        <v>1877</v>
      </c>
      <c r="C762" s="21" t="s">
        <v>1880</v>
      </c>
      <c r="D762" s="22" t="s">
        <v>1881</v>
      </c>
      <c r="E762" s="22" t="s">
        <v>24</v>
      </c>
      <c r="F762" s="22" t="s">
        <v>863</v>
      </c>
      <c r="G762" s="23">
        <v>31218</v>
      </c>
      <c r="H762" s="22" t="s">
        <v>438</v>
      </c>
      <c r="I762" s="22" t="s">
        <v>26</v>
      </c>
      <c r="J762" s="22" t="s">
        <v>27</v>
      </c>
      <c r="K762" s="10" t="str">
        <f ca="1">DATEDIF('DATA PENDUDUK'!$G762,TODAY(),"Y")&amp; " TAHUN"</f>
        <v>40 TAHUN</v>
      </c>
      <c r="L762" s="24" t="s">
        <v>1857</v>
      </c>
    </row>
    <row r="763" spans="1:12" ht="20.100000000000001" customHeight="1" x14ac:dyDescent="0.25">
      <c r="A763" s="8">
        <f t="shared" si="11"/>
        <v>760</v>
      </c>
      <c r="B763" s="21" t="s">
        <v>1877</v>
      </c>
      <c r="C763" s="21" t="s">
        <v>1882</v>
      </c>
      <c r="D763" s="22" t="s">
        <v>1883</v>
      </c>
      <c r="E763" s="22" t="s">
        <v>671</v>
      </c>
      <c r="F763" s="22" t="s">
        <v>30</v>
      </c>
      <c r="G763" s="23">
        <v>41615</v>
      </c>
      <c r="H763" s="22" t="s">
        <v>438</v>
      </c>
      <c r="I763" s="22" t="s">
        <v>31</v>
      </c>
      <c r="J763" s="22" t="s">
        <v>32</v>
      </c>
      <c r="K763" s="10" t="str">
        <f ca="1">DATEDIF('DATA PENDUDUK'!$G763,TODAY(),"Y")&amp; " TAHUN"</f>
        <v>11 TAHUN</v>
      </c>
      <c r="L763" s="24" t="s">
        <v>1857</v>
      </c>
    </row>
    <row r="764" spans="1:12" ht="20.100000000000001" customHeight="1" x14ac:dyDescent="0.25">
      <c r="A764" s="8">
        <f t="shared" si="11"/>
        <v>761</v>
      </c>
      <c r="B764" s="21" t="s">
        <v>1877</v>
      </c>
      <c r="C764" s="21" t="s">
        <v>1884</v>
      </c>
      <c r="D764" s="22" t="s">
        <v>1885</v>
      </c>
      <c r="E764" s="22" t="s">
        <v>671</v>
      </c>
      <c r="F764" s="22" t="s">
        <v>30</v>
      </c>
      <c r="G764" s="23">
        <v>42463</v>
      </c>
      <c r="H764" s="22" t="s">
        <v>438</v>
      </c>
      <c r="I764" s="22" t="s">
        <v>31</v>
      </c>
      <c r="J764" s="22" t="s">
        <v>32</v>
      </c>
      <c r="K764" s="10" t="str">
        <f ca="1">DATEDIF('DATA PENDUDUK'!$G764,TODAY(),"Y")&amp; " TAHUN"</f>
        <v>9 TAHUN</v>
      </c>
      <c r="L764" s="24" t="s">
        <v>1857</v>
      </c>
    </row>
    <row r="765" spans="1:12" ht="20.100000000000001" customHeight="1" x14ac:dyDescent="0.25">
      <c r="A765" s="8">
        <f t="shared" si="11"/>
        <v>762</v>
      </c>
      <c r="B765" s="21" t="s">
        <v>1886</v>
      </c>
      <c r="C765" s="21" t="s">
        <v>1887</v>
      </c>
      <c r="D765" s="22" t="s">
        <v>1888</v>
      </c>
      <c r="E765" s="22" t="s">
        <v>671</v>
      </c>
      <c r="F765" s="22" t="s">
        <v>955</v>
      </c>
      <c r="G765" s="23">
        <v>29222</v>
      </c>
      <c r="H765" s="22" t="s">
        <v>438</v>
      </c>
      <c r="I765" s="22" t="s">
        <v>36</v>
      </c>
      <c r="J765" s="22" t="s">
        <v>20</v>
      </c>
      <c r="K765" s="10" t="str">
        <f ca="1">DATEDIF('DATA PENDUDUK'!$G765,TODAY(),"Y")&amp; " TAHUN"</f>
        <v>45 TAHUN</v>
      </c>
      <c r="L765" s="24" t="s">
        <v>1857</v>
      </c>
    </row>
    <row r="766" spans="1:12" ht="20.100000000000001" customHeight="1" x14ac:dyDescent="0.25">
      <c r="A766" s="8">
        <f t="shared" si="11"/>
        <v>763</v>
      </c>
      <c r="B766" s="21" t="s">
        <v>1886</v>
      </c>
      <c r="C766" s="21" t="s">
        <v>1889</v>
      </c>
      <c r="D766" s="22" t="s">
        <v>1890</v>
      </c>
      <c r="E766" s="22" t="s">
        <v>24</v>
      </c>
      <c r="F766" s="22" t="s">
        <v>955</v>
      </c>
      <c r="G766" s="23">
        <v>30058</v>
      </c>
      <c r="H766" s="22" t="s">
        <v>438</v>
      </c>
      <c r="I766" s="22" t="s">
        <v>26</v>
      </c>
      <c r="J766" s="22" t="s">
        <v>27</v>
      </c>
      <c r="K766" s="10" t="str">
        <f ca="1">DATEDIF('DATA PENDUDUK'!$G766,TODAY(),"Y")&amp; " TAHUN"</f>
        <v>43 TAHUN</v>
      </c>
      <c r="L766" s="24" t="s">
        <v>1857</v>
      </c>
    </row>
    <row r="767" spans="1:12" ht="20.100000000000001" customHeight="1" x14ac:dyDescent="0.25">
      <c r="A767" s="8">
        <f t="shared" si="11"/>
        <v>764</v>
      </c>
      <c r="B767" s="21" t="s">
        <v>1886</v>
      </c>
      <c r="C767" s="21" t="s">
        <v>1891</v>
      </c>
      <c r="D767" s="22" t="s">
        <v>1892</v>
      </c>
      <c r="E767" s="22" t="s">
        <v>24</v>
      </c>
      <c r="F767" s="22" t="s">
        <v>30</v>
      </c>
      <c r="G767" s="23">
        <v>37953</v>
      </c>
      <c r="H767" s="22" t="s">
        <v>438</v>
      </c>
      <c r="I767" s="22" t="s">
        <v>40</v>
      </c>
      <c r="J767" s="22" t="s">
        <v>32</v>
      </c>
      <c r="K767" s="10" t="str">
        <f ca="1">DATEDIF('DATA PENDUDUK'!$G767,TODAY(),"Y")&amp; " TAHUN"</f>
        <v>21 TAHUN</v>
      </c>
      <c r="L767" s="24" t="s">
        <v>1857</v>
      </c>
    </row>
    <row r="768" spans="1:12" ht="20.100000000000001" customHeight="1" x14ac:dyDescent="0.25">
      <c r="A768" s="8">
        <f t="shared" si="11"/>
        <v>765</v>
      </c>
      <c r="B768" s="21" t="s">
        <v>1886</v>
      </c>
      <c r="C768" s="21" t="s">
        <v>1893</v>
      </c>
      <c r="D768" s="22" t="s">
        <v>1894</v>
      </c>
      <c r="E768" s="22" t="s">
        <v>671</v>
      </c>
      <c r="F768" s="22" t="s">
        <v>30</v>
      </c>
      <c r="G768" s="23">
        <v>38669</v>
      </c>
      <c r="H768" s="22" t="s">
        <v>438</v>
      </c>
      <c r="I768" s="22" t="s">
        <v>40</v>
      </c>
      <c r="J768" s="22" t="s">
        <v>32</v>
      </c>
      <c r="K768" s="10" t="str">
        <f ca="1">DATEDIF('DATA PENDUDUK'!$G768,TODAY(),"Y")&amp; " TAHUN"</f>
        <v>19 TAHUN</v>
      </c>
      <c r="L768" s="24" t="s">
        <v>1857</v>
      </c>
    </row>
    <row r="769" spans="1:12" ht="20.100000000000001" customHeight="1" x14ac:dyDescent="0.25">
      <c r="A769" s="8">
        <f t="shared" si="11"/>
        <v>766</v>
      </c>
      <c r="B769" s="21" t="s">
        <v>1886</v>
      </c>
      <c r="C769" s="21" t="s">
        <v>1895</v>
      </c>
      <c r="D769" s="22" t="s">
        <v>1896</v>
      </c>
      <c r="E769" s="22" t="s">
        <v>24</v>
      </c>
      <c r="F769" s="22" t="s">
        <v>30</v>
      </c>
      <c r="G769" s="23">
        <v>40428</v>
      </c>
      <c r="H769" s="22" t="s">
        <v>438</v>
      </c>
      <c r="I769" s="22" t="s">
        <v>31</v>
      </c>
      <c r="J769" s="22" t="s">
        <v>32</v>
      </c>
      <c r="K769" s="10" t="str">
        <f ca="1">DATEDIF('DATA PENDUDUK'!$G769,TODAY(),"Y")&amp; " TAHUN"</f>
        <v>14 TAHUN</v>
      </c>
      <c r="L769" s="24" t="s">
        <v>1857</v>
      </c>
    </row>
    <row r="770" spans="1:12" ht="20.100000000000001" customHeight="1" x14ac:dyDescent="0.25">
      <c r="A770" s="8">
        <f t="shared" si="11"/>
        <v>767</v>
      </c>
      <c r="B770" s="21" t="s">
        <v>1886</v>
      </c>
      <c r="C770" s="21" t="s">
        <v>1897</v>
      </c>
      <c r="D770" s="22" t="s">
        <v>1898</v>
      </c>
      <c r="E770" s="22" t="s">
        <v>24</v>
      </c>
      <c r="F770" s="22" t="s">
        <v>30</v>
      </c>
      <c r="G770" s="23">
        <v>43069</v>
      </c>
      <c r="H770" s="22" t="s">
        <v>438</v>
      </c>
      <c r="I770" s="22" t="s">
        <v>40</v>
      </c>
      <c r="J770" s="22" t="s">
        <v>32</v>
      </c>
      <c r="K770" s="10" t="str">
        <f ca="1">DATEDIF('DATA PENDUDUK'!$G770,TODAY(),"Y")&amp; " TAHUN"</f>
        <v>7 TAHUN</v>
      </c>
      <c r="L770" s="24" t="s">
        <v>1857</v>
      </c>
    </row>
    <row r="771" spans="1:12" ht="20.100000000000001" customHeight="1" x14ac:dyDescent="0.25">
      <c r="A771" s="8">
        <f t="shared" si="11"/>
        <v>768</v>
      </c>
      <c r="B771" s="21" t="s">
        <v>1886</v>
      </c>
      <c r="C771" s="21" t="s">
        <v>1899</v>
      </c>
      <c r="D771" s="22" t="s">
        <v>1900</v>
      </c>
      <c r="E771" s="22" t="s">
        <v>671</v>
      </c>
      <c r="F771" s="22" t="s">
        <v>955</v>
      </c>
      <c r="G771" s="23">
        <v>32362</v>
      </c>
      <c r="H771" s="22" t="s">
        <v>438</v>
      </c>
      <c r="I771" s="22" t="s">
        <v>40</v>
      </c>
      <c r="J771" s="22" t="s">
        <v>37</v>
      </c>
      <c r="K771" s="10" t="str">
        <f ca="1">DATEDIF('DATA PENDUDUK'!$G771,TODAY(),"Y")&amp; " TAHUN"</f>
        <v>36 TAHUN</v>
      </c>
      <c r="L771" s="24" t="s">
        <v>1857</v>
      </c>
    </row>
    <row r="772" spans="1:12" ht="20.100000000000001" customHeight="1" x14ac:dyDescent="0.25">
      <c r="A772" s="8">
        <f t="shared" si="11"/>
        <v>769</v>
      </c>
      <c r="B772" s="21" t="s">
        <v>1886</v>
      </c>
      <c r="C772" s="21" t="s">
        <v>1901</v>
      </c>
      <c r="D772" s="22" t="s">
        <v>1902</v>
      </c>
      <c r="E772" s="22" t="s">
        <v>671</v>
      </c>
      <c r="F772" s="22" t="s">
        <v>955</v>
      </c>
      <c r="G772" s="23">
        <v>33292</v>
      </c>
      <c r="H772" s="22" t="s">
        <v>438</v>
      </c>
      <c r="I772" s="22" t="s">
        <v>40</v>
      </c>
      <c r="J772" s="22" t="s">
        <v>37</v>
      </c>
      <c r="K772" s="10" t="str">
        <f ca="1">DATEDIF('DATA PENDUDUK'!$G772,TODAY(),"Y")&amp; " TAHUN"</f>
        <v>34 TAHUN</v>
      </c>
      <c r="L772" s="24" t="s">
        <v>1857</v>
      </c>
    </row>
    <row r="773" spans="1:12" ht="20.100000000000001" customHeight="1" x14ac:dyDescent="0.25">
      <c r="A773" s="8">
        <f t="shared" si="11"/>
        <v>770</v>
      </c>
      <c r="B773" s="21" t="s">
        <v>1903</v>
      </c>
      <c r="C773" s="21" t="s">
        <v>1904</v>
      </c>
      <c r="D773" s="22" t="s">
        <v>1905</v>
      </c>
      <c r="E773" s="22" t="s">
        <v>671</v>
      </c>
      <c r="F773" s="22" t="s">
        <v>780</v>
      </c>
      <c r="G773" s="23">
        <v>32392</v>
      </c>
      <c r="H773" s="22" t="s">
        <v>438</v>
      </c>
      <c r="I773" s="22" t="s">
        <v>73</v>
      </c>
      <c r="J773" s="22" t="s">
        <v>20</v>
      </c>
      <c r="K773" s="10" t="str">
        <f ca="1">DATEDIF('DATA PENDUDUK'!$G773,TODAY(),"Y")&amp; " TAHUN"</f>
        <v>36 TAHUN</v>
      </c>
      <c r="L773" s="24" t="s">
        <v>1857</v>
      </c>
    </row>
    <row r="774" spans="1:12" ht="20.100000000000001" customHeight="1" x14ac:dyDescent="0.25">
      <c r="A774" s="8">
        <f t="shared" ref="A774:A837" si="12">IF(D774="","",ROW()-3)</f>
        <v>771</v>
      </c>
      <c r="B774" s="21" t="s">
        <v>1903</v>
      </c>
      <c r="C774" s="21" t="s">
        <v>1906</v>
      </c>
      <c r="D774" s="22" t="s">
        <v>1907</v>
      </c>
      <c r="E774" s="22" t="s">
        <v>24</v>
      </c>
      <c r="F774" s="22" t="s">
        <v>955</v>
      </c>
      <c r="G774" s="23">
        <v>36364</v>
      </c>
      <c r="H774" s="22" t="s">
        <v>438</v>
      </c>
      <c r="I774" s="22" t="s">
        <v>26</v>
      </c>
      <c r="J774" s="22" t="s">
        <v>27</v>
      </c>
      <c r="K774" s="10" t="str">
        <f ca="1">DATEDIF('DATA PENDUDUK'!$G774,TODAY(),"Y")&amp; " TAHUN"</f>
        <v>26 TAHUN</v>
      </c>
      <c r="L774" s="24" t="s">
        <v>1857</v>
      </c>
    </row>
    <row r="775" spans="1:12" ht="20.100000000000001" customHeight="1" x14ac:dyDescent="0.25">
      <c r="A775" s="8">
        <f t="shared" si="12"/>
        <v>772</v>
      </c>
      <c r="B775" s="21" t="s">
        <v>1903</v>
      </c>
      <c r="C775" s="21" t="s">
        <v>1908</v>
      </c>
      <c r="D775" s="22" t="s">
        <v>1909</v>
      </c>
      <c r="E775" s="22" t="s">
        <v>24</v>
      </c>
      <c r="F775" s="22" t="s">
        <v>30</v>
      </c>
      <c r="G775" s="23">
        <v>42188</v>
      </c>
      <c r="H775" s="22" t="s">
        <v>438</v>
      </c>
      <c r="I775" s="22" t="s">
        <v>31</v>
      </c>
      <c r="J775" s="22" t="s">
        <v>32</v>
      </c>
      <c r="K775" s="10" t="str">
        <f ca="1">DATEDIF('DATA PENDUDUK'!$G775,TODAY(),"Y")&amp; " TAHUN"</f>
        <v>10 TAHUN</v>
      </c>
      <c r="L775" s="24" t="s">
        <v>1857</v>
      </c>
    </row>
    <row r="776" spans="1:12" ht="20.100000000000001" customHeight="1" x14ac:dyDescent="0.25">
      <c r="A776" s="8">
        <f t="shared" si="12"/>
        <v>773</v>
      </c>
      <c r="B776" s="21" t="s">
        <v>1910</v>
      </c>
      <c r="C776" s="21" t="s">
        <v>1911</v>
      </c>
      <c r="D776" s="22" t="s">
        <v>1912</v>
      </c>
      <c r="E776" s="22" t="s">
        <v>671</v>
      </c>
      <c r="F776" s="22" t="s">
        <v>955</v>
      </c>
      <c r="G776" s="23">
        <v>28914</v>
      </c>
      <c r="H776" s="22" t="s">
        <v>438</v>
      </c>
      <c r="I776" s="22" t="s">
        <v>36</v>
      </c>
      <c r="J776" s="22" t="s">
        <v>20</v>
      </c>
      <c r="K776" s="10" t="str">
        <f ca="1">DATEDIF('DATA PENDUDUK'!$G776,TODAY(),"Y")&amp; " TAHUN"</f>
        <v>46 TAHUN</v>
      </c>
      <c r="L776" s="24" t="s">
        <v>1857</v>
      </c>
    </row>
    <row r="777" spans="1:12" ht="20.100000000000001" customHeight="1" x14ac:dyDescent="0.25">
      <c r="A777" s="8">
        <f t="shared" si="12"/>
        <v>774</v>
      </c>
      <c r="B777" s="21" t="s">
        <v>1910</v>
      </c>
      <c r="C777" s="21" t="s">
        <v>1913</v>
      </c>
      <c r="D777" s="22" t="s">
        <v>1914</v>
      </c>
      <c r="E777" s="22" t="s">
        <v>24</v>
      </c>
      <c r="F777" s="22" t="s">
        <v>955</v>
      </c>
      <c r="G777" s="23">
        <v>30456</v>
      </c>
      <c r="H777" s="22" t="s">
        <v>438</v>
      </c>
      <c r="I777" s="22" t="s">
        <v>26</v>
      </c>
      <c r="J777" s="22" t="s">
        <v>27</v>
      </c>
      <c r="K777" s="10" t="str">
        <f ca="1">DATEDIF('DATA PENDUDUK'!$G777,TODAY(),"Y")&amp; " TAHUN"</f>
        <v>42 TAHUN</v>
      </c>
      <c r="L777" s="24" t="s">
        <v>1857</v>
      </c>
    </row>
    <row r="778" spans="1:12" ht="20.100000000000001" customHeight="1" x14ac:dyDescent="0.25">
      <c r="A778" s="8">
        <f t="shared" si="12"/>
        <v>775</v>
      </c>
      <c r="B778" s="21" t="s">
        <v>1910</v>
      </c>
      <c r="C778" s="21" t="s">
        <v>1915</v>
      </c>
      <c r="D778" s="22" t="s">
        <v>1916</v>
      </c>
      <c r="E778" s="22" t="s">
        <v>24</v>
      </c>
      <c r="F778" s="22" t="s">
        <v>955</v>
      </c>
      <c r="G778" s="23">
        <v>35558</v>
      </c>
      <c r="H778" s="22" t="s">
        <v>438</v>
      </c>
      <c r="I778" s="22" t="s">
        <v>40</v>
      </c>
      <c r="J778" s="22" t="s">
        <v>32</v>
      </c>
      <c r="K778" s="10" t="str">
        <f ca="1">DATEDIF('DATA PENDUDUK'!$G778,TODAY(),"Y")&amp; " TAHUN"</f>
        <v>28 TAHUN</v>
      </c>
      <c r="L778" s="24" t="s">
        <v>1857</v>
      </c>
    </row>
    <row r="779" spans="1:12" ht="20.100000000000001" customHeight="1" x14ac:dyDescent="0.25">
      <c r="A779" s="8">
        <f t="shared" si="12"/>
        <v>776</v>
      </c>
      <c r="B779" s="21" t="s">
        <v>1910</v>
      </c>
      <c r="C779" s="21" t="s">
        <v>1917</v>
      </c>
      <c r="D779" s="22" t="s">
        <v>1918</v>
      </c>
      <c r="E779" s="22" t="s">
        <v>24</v>
      </c>
      <c r="F779" s="22" t="s">
        <v>955</v>
      </c>
      <c r="G779" s="23">
        <v>35764</v>
      </c>
      <c r="H779" s="22" t="s">
        <v>438</v>
      </c>
      <c r="I779" s="22" t="s">
        <v>40</v>
      </c>
      <c r="J779" s="22" t="s">
        <v>32</v>
      </c>
      <c r="K779" s="10" t="str">
        <f ca="1">DATEDIF('DATA PENDUDUK'!$G779,TODAY(),"Y")&amp; " TAHUN"</f>
        <v>27 TAHUN</v>
      </c>
      <c r="L779" s="24" t="s">
        <v>1857</v>
      </c>
    </row>
    <row r="780" spans="1:12" ht="20.100000000000001" customHeight="1" x14ac:dyDescent="0.25">
      <c r="A780" s="8">
        <f t="shared" si="12"/>
        <v>777</v>
      </c>
      <c r="B780" s="21" t="s">
        <v>1910</v>
      </c>
      <c r="C780" s="21" t="s">
        <v>1919</v>
      </c>
      <c r="D780" s="22" t="s">
        <v>1920</v>
      </c>
      <c r="E780" s="22" t="s">
        <v>671</v>
      </c>
      <c r="F780" s="22" t="s">
        <v>30</v>
      </c>
      <c r="G780" s="23">
        <v>42501</v>
      </c>
      <c r="H780" s="22" t="s">
        <v>438</v>
      </c>
      <c r="I780" s="22" t="s">
        <v>31</v>
      </c>
      <c r="J780" s="22" t="s">
        <v>32</v>
      </c>
      <c r="K780" s="10" t="str">
        <f ca="1">DATEDIF('DATA PENDUDUK'!$G780,TODAY(),"Y")&amp; " TAHUN"</f>
        <v>9 TAHUN</v>
      </c>
      <c r="L780" s="24" t="s">
        <v>1857</v>
      </c>
    </row>
    <row r="781" spans="1:12" ht="20.100000000000001" customHeight="1" x14ac:dyDescent="0.25">
      <c r="A781" s="8">
        <f t="shared" si="12"/>
        <v>778</v>
      </c>
      <c r="B781" s="21" t="s">
        <v>1921</v>
      </c>
      <c r="C781" s="21" t="s">
        <v>1922</v>
      </c>
      <c r="D781" s="22" t="s">
        <v>1923</v>
      </c>
      <c r="E781" s="22" t="s">
        <v>671</v>
      </c>
      <c r="F781" s="22" t="s">
        <v>955</v>
      </c>
      <c r="G781" s="23">
        <v>36376</v>
      </c>
      <c r="H781" s="22" t="s">
        <v>438</v>
      </c>
      <c r="I781" s="22" t="s">
        <v>40</v>
      </c>
      <c r="J781" s="22" t="s">
        <v>20</v>
      </c>
      <c r="K781" s="10" t="str">
        <f ca="1">DATEDIF('DATA PENDUDUK'!$G781,TODAY(),"Y")&amp; " TAHUN"</f>
        <v>25 TAHUN</v>
      </c>
      <c r="L781" s="24" t="s">
        <v>1857</v>
      </c>
    </row>
    <row r="782" spans="1:12" ht="20.100000000000001" customHeight="1" x14ac:dyDescent="0.25">
      <c r="A782" s="8">
        <f t="shared" si="12"/>
        <v>779</v>
      </c>
      <c r="B782" s="21" t="s">
        <v>1924</v>
      </c>
      <c r="C782" s="21" t="s">
        <v>1925</v>
      </c>
      <c r="D782" s="22" t="s">
        <v>1926</v>
      </c>
      <c r="E782" s="22" t="s">
        <v>671</v>
      </c>
      <c r="F782" s="22" t="s">
        <v>955</v>
      </c>
      <c r="G782" s="23">
        <v>27794</v>
      </c>
      <c r="H782" s="22" t="s">
        <v>438</v>
      </c>
      <c r="I782" s="22" t="s">
        <v>36</v>
      </c>
      <c r="J782" s="22" t="s">
        <v>20</v>
      </c>
      <c r="K782" s="10" t="str">
        <f ca="1">DATEDIF('DATA PENDUDUK'!$G782,TODAY(),"Y")&amp; " TAHUN"</f>
        <v>49 TAHUN</v>
      </c>
      <c r="L782" s="24" t="s">
        <v>1857</v>
      </c>
    </row>
    <row r="783" spans="1:12" ht="20.100000000000001" customHeight="1" x14ac:dyDescent="0.25">
      <c r="A783" s="8">
        <f t="shared" si="12"/>
        <v>780</v>
      </c>
      <c r="B783" s="21" t="s">
        <v>1924</v>
      </c>
      <c r="C783" s="21" t="s">
        <v>1927</v>
      </c>
      <c r="D783" s="22" t="s">
        <v>1928</v>
      </c>
      <c r="E783" s="22" t="s">
        <v>24</v>
      </c>
      <c r="F783" s="22" t="s">
        <v>955</v>
      </c>
      <c r="G783" s="23">
        <v>31083</v>
      </c>
      <c r="H783" s="22" t="s">
        <v>438</v>
      </c>
      <c r="I783" s="22" t="s">
        <v>26</v>
      </c>
      <c r="J783" s="22" t="s">
        <v>27</v>
      </c>
      <c r="K783" s="10" t="str">
        <f ca="1">DATEDIF('DATA PENDUDUK'!$G783,TODAY(),"Y")&amp; " TAHUN"</f>
        <v>40 TAHUN</v>
      </c>
      <c r="L783" s="24" t="s">
        <v>1857</v>
      </c>
    </row>
    <row r="784" spans="1:12" ht="20.100000000000001" customHeight="1" x14ac:dyDescent="0.25">
      <c r="A784" s="8">
        <f t="shared" si="12"/>
        <v>781</v>
      </c>
      <c r="B784" s="21" t="s">
        <v>1924</v>
      </c>
      <c r="C784" s="21" t="s">
        <v>1929</v>
      </c>
      <c r="D784" s="22" t="s">
        <v>1930</v>
      </c>
      <c r="E784" s="22" t="s">
        <v>24</v>
      </c>
      <c r="F784" s="22" t="s">
        <v>30</v>
      </c>
      <c r="G784" s="23">
        <v>36562</v>
      </c>
      <c r="H784" s="22" t="s">
        <v>438</v>
      </c>
      <c r="I784" s="22" t="s">
        <v>40</v>
      </c>
      <c r="J784" s="22" t="s">
        <v>32</v>
      </c>
      <c r="K784" s="10" t="str">
        <f ca="1">DATEDIF('DATA PENDUDUK'!$G784,TODAY(),"Y")&amp; " TAHUN"</f>
        <v>25 TAHUN</v>
      </c>
      <c r="L784" s="24" t="s">
        <v>1857</v>
      </c>
    </row>
    <row r="785" spans="1:12" ht="20.100000000000001" customHeight="1" x14ac:dyDescent="0.25">
      <c r="A785" s="8">
        <f t="shared" si="12"/>
        <v>782</v>
      </c>
      <c r="B785" s="21" t="s">
        <v>1924</v>
      </c>
      <c r="C785" s="21" t="s">
        <v>1931</v>
      </c>
      <c r="D785" s="22" t="s">
        <v>1932</v>
      </c>
      <c r="E785" s="22" t="s">
        <v>24</v>
      </c>
      <c r="F785" s="22" t="s">
        <v>30</v>
      </c>
      <c r="G785" s="23">
        <v>39118</v>
      </c>
      <c r="H785" s="22" t="s">
        <v>438</v>
      </c>
      <c r="I785" s="22" t="s">
        <v>40</v>
      </c>
      <c r="J785" s="22" t="s">
        <v>32</v>
      </c>
      <c r="K785" s="10" t="str">
        <f ca="1">DATEDIF('DATA PENDUDUK'!$G785,TODAY(),"Y")&amp; " TAHUN"</f>
        <v>18 TAHUN</v>
      </c>
      <c r="L785" s="24" t="s">
        <v>1857</v>
      </c>
    </row>
    <row r="786" spans="1:12" ht="20.100000000000001" customHeight="1" x14ac:dyDescent="0.25">
      <c r="A786" s="8">
        <f t="shared" si="12"/>
        <v>783</v>
      </c>
      <c r="B786" s="21" t="s">
        <v>1924</v>
      </c>
      <c r="C786" s="21" t="s">
        <v>1933</v>
      </c>
      <c r="D786" s="22" t="s">
        <v>1934</v>
      </c>
      <c r="E786" s="22" t="s">
        <v>24</v>
      </c>
      <c r="F786" s="22" t="s">
        <v>30</v>
      </c>
      <c r="G786" s="23">
        <v>40636</v>
      </c>
      <c r="H786" s="22" t="s">
        <v>438</v>
      </c>
      <c r="I786" s="22" t="s">
        <v>31</v>
      </c>
      <c r="J786" s="22" t="s">
        <v>32</v>
      </c>
      <c r="K786" s="10" t="str">
        <f ca="1">DATEDIF('DATA PENDUDUK'!$G786,TODAY(),"Y")&amp; " TAHUN"</f>
        <v>14 TAHUN</v>
      </c>
      <c r="L786" s="24" t="s">
        <v>1857</v>
      </c>
    </row>
    <row r="787" spans="1:12" ht="20.100000000000001" customHeight="1" x14ac:dyDescent="0.25">
      <c r="A787" s="8">
        <f t="shared" si="12"/>
        <v>784</v>
      </c>
      <c r="B787" s="21" t="s">
        <v>1924</v>
      </c>
      <c r="C787" s="21" t="s">
        <v>1935</v>
      </c>
      <c r="D787" s="22" t="s">
        <v>1936</v>
      </c>
      <c r="E787" s="22" t="s">
        <v>24</v>
      </c>
      <c r="F787" s="22" t="s">
        <v>30</v>
      </c>
      <c r="G787" s="23">
        <v>41487</v>
      </c>
      <c r="H787" s="22" t="s">
        <v>438</v>
      </c>
      <c r="I787" s="22" t="s">
        <v>31</v>
      </c>
      <c r="J787" s="22" t="s">
        <v>32</v>
      </c>
      <c r="K787" s="10" t="str">
        <f ca="1">DATEDIF('DATA PENDUDUK'!$G787,TODAY(),"Y")&amp; " TAHUN"</f>
        <v>11 TAHUN</v>
      </c>
      <c r="L787" s="24" t="s">
        <v>1857</v>
      </c>
    </row>
    <row r="788" spans="1:12" ht="20.100000000000001" customHeight="1" x14ac:dyDescent="0.25">
      <c r="A788" s="8">
        <f t="shared" si="12"/>
        <v>785</v>
      </c>
      <c r="B788" s="21" t="s">
        <v>1924</v>
      </c>
      <c r="C788" s="21" t="s">
        <v>1937</v>
      </c>
      <c r="D788" s="22" t="s">
        <v>1938</v>
      </c>
      <c r="E788" s="22" t="s">
        <v>24</v>
      </c>
      <c r="F788" s="22" t="s">
        <v>30</v>
      </c>
      <c r="G788" s="23">
        <v>42161</v>
      </c>
      <c r="H788" s="22" t="s">
        <v>438</v>
      </c>
      <c r="I788" s="22" t="s">
        <v>31</v>
      </c>
      <c r="J788" s="22" t="s">
        <v>32</v>
      </c>
      <c r="K788" s="10" t="str">
        <f ca="1">DATEDIF('DATA PENDUDUK'!$G788,TODAY(),"Y")&amp; " TAHUN"</f>
        <v>10 TAHUN</v>
      </c>
      <c r="L788" s="24" t="s">
        <v>1857</v>
      </c>
    </row>
    <row r="789" spans="1:12" ht="20.100000000000001" customHeight="1" x14ac:dyDescent="0.25">
      <c r="A789" s="8">
        <f t="shared" si="12"/>
        <v>786</v>
      </c>
      <c r="B789" s="21" t="s">
        <v>1939</v>
      </c>
      <c r="C789" s="21" t="s">
        <v>1940</v>
      </c>
      <c r="D789" s="22" t="s">
        <v>1941</v>
      </c>
      <c r="E789" s="22" t="s">
        <v>671</v>
      </c>
      <c r="F789" s="22" t="s">
        <v>955</v>
      </c>
      <c r="G789" s="23">
        <v>28416</v>
      </c>
      <c r="H789" s="22" t="s">
        <v>438</v>
      </c>
      <c r="I789" s="22" t="s">
        <v>36</v>
      </c>
      <c r="J789" s="22" t="s">
        <v>20</v>
      </c>
      <c r="K789" s="10" t="str">
        <f ca="1">DATEDIF('DATA PENDUDUK'!$G789,TODAY(),"Y")&amp; " TAHUN"</f>
        <v>47 TAHUN</v>
      </c>
      <c r="L789" s="24" t="s">
        <v>1857</v>
      </c>
    </row>
    <row r="790" spans="1:12" ht="20.100000000000001" customHeight="1" x14ac:dyDescent="0.25">
      <c r="A790" s="8">
        <f t="shared" si="12"/>
        <v>787</v>
      </c>
      <c r="B790" s="21" t="s">
        <v>1939</v>
      </c>
      <c r="C790" s="21" t="s">
        <v>1942</v>
      </c>
      <c r="D790" s="22" t="s">
        <v>1943</v>
      </c>
      <c r="E790" s="22" t="s">
        <v>24</v>
      </c>
      <c r="F790" s="22" t="s">
        <v>955</v>
      </c>
      <c r="G790" s="23">
        <v>29558</v>
      </c>
      <c r="H790" s="22" t="s">
        <v>438</v>
      </c>
      <c r="I790" s="22" t="s">
        <v>1578</v>
      </c>
      <c r="J790" s="22" t="s">
        <v>27</v>
      </c>
      <c r="K790" s="10" t="str">
        <f ca="1">DATEDIF('DATA PENDUDUK'!$G790,TODAY(),"Y")&amp; " TAHUN"</f>
        <v>44 TAHUN</v>
      </c>
      <c r="L790" s="24" t="s">
        <v>1857</v>
      </c>
    </row>
    <row r="791" spans="1:12" ht="20.100000000000001" customHeight="1" x14ac:dyDescent="0.25">
      <c r="A791" s="8">
        <f t="shared" si="12"/>
        <v>788</v>
      </c>
      <c r="B791" s="21" t="s">
        <v>1939</v>
      </c>
      <c r="C791" s="21" t="s">
        <v>1944</v>
      </c>
      <c r="D791" s="22" t="s">
        <v>1945</v>
      </c>
      <c r="E791" s="22" t="s">
        <v>671</v>
      </c>
      <c r="F791" s="22" t="s">
        <v>955</v>
      </c>
      <c r="G791" s="23">
        <v>39185</v>
      </c>
      <c r="H791" s="22" t="s">
        <v>438</v>
      </c>
      <c r="I791" s="22" t="s">
        <v>40</v>
      </c>
      <c r="J791" s="22" t="s">
        <v>32</v>
      </c>
      <c r="K791" s="10" t="str">
        <f ca="1">DATEDIF('DATA PENDUDUK'!$G791,TODAY(),"Y")&amp; " TAHUN"</f>
        <v>18 TAHUN</v>
      </c>
      <c r="L791" s="24" t="s">
        <v>1857</v>
      </c>
    </row>
    <row r="792" spans="1:12" ht="20.100000000000001" customHeight="1" x14ac:dyDescent="0.25">
      <c r="A792" s="8">
        <f t="shared" si="12"/>
        <v>789</v>
      </c>
      <c r="B792" s="21" t="s">
        <v>1939</v>
      </c>
      <c r="C792" s="21" t="s">
        <v>1946</v>
      </c>
      <c r="D792" s="25" t="s">
        <v>1947</v>
      </c>
      <c r="E792" s="22" t="s">
        <v>671</v>
      </c>
      <c r="F792" s="22" t="s">
        <v>376</v>
      </c>
      <c r="G792" s="23">
        <v>39988</v>
      </c>
      <c r="H792" s="22" t="s">
        <v>438</v>
      </c>
      <c r="I792" s="22" t="s">
        <v>31</v>
      </c>
      <c r="J792" s="22" t="s">
        <v>32</v>
      </c>
      <c r="K792" s="10" t="str">
        <f ca="1">DATEDIF('DATA PENDUDUK'!$G792,TODAY(),"Y")&amp; " TAHUN"</f>
        <v>16 TAHUN</v>
      </c>
      <c r="L792" s="24" t="s">
        <v>1857</v>
      </c>
    </row>
    <row r="793" spans="1:12" ht="20.100000000000001" customHeight="1" x14ac:dyDescent="0.25">
      <c r="A793" s="8">
        <f t="shared" si="12"/>
        <v>790</v>
      </c>
      <c r="B793" s="21" t="s">
        <v>1939</v>
      </c>
      <c r="C793" s="21" t="s">
        <v>1948</v>
      </c>
      <c r="D793" s="22" t="s">
        <v>1949</v>
      </c>
      <c r="E793" s="22" t="s">
        <v>671</v>
      </c>
      <c r="F793" s="22" t="s">
        <v>30</v>
      </c>
      <c r="G793" s="23">
        <v>41931</v>
      </c>
      <c r="H793" s="22" t="s">
        <v>438</v>
      </c>
      <c r="I793" s="22" t="s">
        <v>31</v>
      </c>
      <c r="J793" s="22" t="s">
        <v>32</v>
      </c>
      <c r="K793" s="10" t="str">
        <f ca="1">DATEDIF('DATA PENDUDUK'!$G793,TODAY(),"Y")&amp; " TAHUN"</f>
        <v>10 TAHUN</v>
      </c>
      <c r="L793" s="24" t="s">
        <v>1857</v>
      </c>
    </row>
    <row r="794" spans="1:12" ht="20.100000000000001" customHeight="1" x14ac:dyDescent="0.25">
      <c r="A794" s="8">
        <f t="shared" si="12"/>
        <v>791</v>
      </c>
      <c r="B794" s="21" t="s">
        <v>1950</v>
      </c>
      <c r="C794" s="21" t="s">
        <v>1951</v>
      </c>
      <c r="D794" s="22" t="s">
        <v>1952</v>
      </c>
      <c r="E794" s="22" t="s">
        <v>671</v>
      </c>
      <c r="F794" s="22" t="s">
        <v>1953</v>
      </c>
      <c r="G794" s="23">
        <v>37596</v>
      </c>
      <c r="H794" s="22" t="s">
        <v>438</v>
      </c>
      <c r="I794" s="22" t="s">
        <v>40</v>
      </c>
      <c r="J794" s="22" t="s">
        <v>20</v>
      </c>
      <c r="K794" s="10" t="str">
        <f ca="1">DATEDIF('DATA PENDUDUK'!$G794,TODAY(),"Y")&amp; " TAHUN"</f>
        <v>22 TAHUN</v>
      </c>
      <c r="L794" s="24" t="s">
        <v>1857</v>
      </c>
    </row>
    <row r="795" spans="1:12" ht="20.100000000000001" customHeight="1" x14ac:dyDescent="0.25">
      <c r="A795" s="8">
        <f t="shared" si="12"/>
        <v>792</v>
      </c>
      <c r="B795" s="21" t="s">
        <v>1950</v>
      </c>
      <c r="C795" s="21" t="s">
        <v>1954</v>
      </c>
      <c r="D795" s="22" t="s">
        <v>1955</v>
      </c>
      <c r="E795" s="22" t="s">
        <v>24</v>
      </c>
      <c r="F795" s="22" t="s">
        <v>1868</v>
      </c>
      <c r="G795" s="23">
        <v>38599</v>
      </c>
      <c r="H795" s="22" t="s">
        <v>438</v>
      </c>
      <c r="I795" s="22" t="s">
        <v>40</v>
      </c>
      <c r="J795" s="22" t="s">
        <v>27</v>
      </c>
      <c r="K795" s="10" t="str">
        <f ca="1">DATEDIF('DATA PENDUDUK'!$G795,TODAY(),"Y")&amp; " TAHUN"</f>
        <v>19 TAHUN</v>
      </c>
      <c r="L795" s="24" t="s">
        <v>1857</v>
      </c>
    </row>
    <row r="796" spans="1:12" ht="20.100000000000001" customHeight="1" x14ac:dyDescent="0.25">
      <c r="A796" s="8">
        <f t="shared" si="12"/>
        <v>793</v>
      </c>
      <c r="B796" s="21" t="s">
        <v>1950</v>
      </c>
      <c r="C796" s="21" t="s">
        <v>1956</v>
      </c>
      <c r="D796" s="22" t="s">
        <v>1957</v>
      </c>
      <c r="E796" s="22" t="s">
        <v>671</v>
      </c>
      <c r="F796" s="22" t="s">
        <v>30</v>
      </c>
      <c r="G796" s="23">
        <v>44527</v>
      </c>
      <c r="H796" s="22" t="s">
        <v>438</v>
      </c>
      <c r="I796" s="22" t="s">
        <v>40</v>
      </c>
      <c r="J796" s="22" t="s">
        <v>32</v>
      </c>
      <c r="K796" s="10" t="str">
        <f ca="1">DATEDIF('DATA PENDUDUK'!$G796,TODAY(),"Y")&amp; " TAHUN"</f>
        <v>3 TAHUN</v>
      </c>
      <c r="L796" s="24" t="s">
        <v>1857</v>
      </c>
    </row>
    <row r="797" spans="1:12" ht="20.100000000000001" customHeight="1" x14ac:dyDescent="0.25">
      <c r="A797" s="8">
        <f t="shared" si="12"/>
        <v>794</v>
      </c>
      <c r="B797" s="21" t="s">
        <v>1958</v>
      </c>
      <c r="C797" s="21" t="s">
        <v>1959</v>
      </c>
      <c r="D797" s="22" t="s">
        <v>1960</v>
      </c>
      <c r="E797" s="22" t="s">
        <v>671</v>
      </c>
      <c r="F797" s="22" t="s">
        <v>955</v>
      </c>
      <c r="G797" s="23">
        <v>31214</v>
      </c>
      <c r="H797" s="22" t="s">
        <v>438</v>
      </c>
      <c r="I797" s="22" t="s">
        <v>747</v>
      </c>
      <c r="J797" s="22" t="s">
        <v>20</v>
      </c>
      <c r="K797" s="10" t="str">
        <f ca="1">DATEDIF('DATA PENDUDUK'!$G797,TODAY(),"Y")&amp; " TAHUN"</f>
        <v>40 TAHUN</v>
      </c>
      <c r="L797" s="24" t="s">
        <v>1857</v>
      </c>
    </row>
    <row r="798" spans="1:12" ht="20.100000000000001" customHeight="1" x14ac:dyDescent="0.25">
      <c r="A798" s="8">
        <f t="shared" si="12"/>
        <v>795</v>
      </c>
      <c r="B798" s="21" t="s">
        <v>1958</v>
      </c>
      <c r="C798" s="21" t="s">
        <v>1961</v>
      </c>
      <c r="D798" s="22" t="s">
        <v>1962</v>
      </c>
      <c r="E798" s="22" t="s">
        <v>24</v>
      </c>
      <c r="F798" s="22" t="s">
        <v>1963</v>
      </c>
      <c r="G798" s="23">
        <v>31837</v>
      </c>
      <c r="H798" s="22" t="s">
        <v>438</v>
      </c>
      <c r="I798" s="22" t="s">
        <v>26</v>
      </c>
      <c r="J798" s="22" t="s">
        <v>27</v>
      </c>
      <c r="K798" s="10" t="str">
        <f ca="1">DATEDIF('DATA PENDUDUK'!$G798,TODAY(),"Y")&amp; " TAHUN"</f>
        <v>38 TAHUN</v>
      </c>
      <c r="L798" s="24" t="s">
        <v>1857</v>
      </c>
    </row>
    <row r="799" spans="1:12" ht="20.100000000000001" customHeight="1" x14ac:dyDescent="0.25">
      <c r="A799" s="8">
        <f t="shared" si="12"/>
        <v>796</v>
      </c>
      <c r="B799" s="21" t="s">
        <v>1958</v>
      </c>
      <c r="C799" s="21" t="s">
        <v>1964</v>
      </c>
      <c r="D799" s="22" t="s">
        <v>1965</v>
      </c>
      <c r="E799" s="22" t="s">
        <v>671</v>
      </c>
      <c r="F799" s="22" t="s">
        <v>955</v>
      </c>
      <c r="G799" s="23">
        <v>36252</v>
      </c>
      <c r="H799" s="22" t="s">
        <v>438</v>
      </c>
      <c r="I799" s="22" t="s">
        <v>40</v>
      </c>
      <c r="J799" s="22" t="s">
        <v>32</v>
      </c>
      <c r="K799" s="10" t="str">
        <f ca="1">DATEDIF('DATA PENDUDUK'!$G799,TODAY(),"Y")&amp; " TAHUN"</f>
        <v>26 TAHUN</v>
      </c>
      <c r="L799" s="24" t="s">
        <v>1857</v>
      </c>
    </row>
    <row r="800" spans="1:12" ht="20.100000000000001" customHeight="1" x14ac:dyDescent="0.25">
      <c r="A800" s="8">
        <f t="shared" si="12"/>
        <v>797</v>
      </c>
      <c r="B800" s="21" t="s">
        <v>1958</v>
      </c>
      <c r="C800" s="21" t="s">
        <v>1966</v>
      </c>
      <c r="D800" s="22" t="s">
        <v>1967</v>
      </c>
      <c r="E800" s="22" t="s">
        <v>671</v>
      </c>
      <c r="F800" s="22" t="s">
        <v>955</v>
      </c>
      <c r="G800" s="23">
        <v>36378</v>
      </c>
      <c r="H800" s="22" t="s">
        <v>438</v>
      </c>
      <c r="I800" s="22" t="s">
        <v>40</v>
      </c>
      <c r="J800" s="22" t="s">
        <v>37</v>
      </c>
      <c r="K800" s="10" t="str">
        <f ca="1">DATEDIF('DATA PENDUDUK'!$G800,TODAY(),"Y")&amp; " TAHUN"</f>
        <v>25 TAHUN</v>
      </c>
      <c r="L800" s="24" t="s">
        <v>1857</v>
      </c>
    </row>
    <row r="801" spans="1:12" ht="20.100000000000001" customHeight="1" x14ac:dyDescent="0.25">
      <c r="A801" s="8">
        <f t="shared" si="12"/>
        <v>798</v>
      </c>
      <c r="B801" s="21" t="s">
        <v>1968</v>
      </c>
      <c r="C801" s="21" t="s">
        <v>1969</v>
      </c>
      <c r="D801" s="22" t="s">
        <v>1970</v>
      </c>
      <c r="E801" s="22" t="s">
        <v>24</v>
      </c>
      <c r="F801" s="22" t="s">
        <v>955</v>
      </c>
      <c r="G801" s="23">
        <v>35224</v>
      </c>
      <c r="H801" s="22" t="s">
        <v>438</v>
      </c>
      <c r="I801" s="22" t="s">
        <v>36</v>
      </c>
      <c r="J801" s="22" t="s">
        <v>20</v>
      </c>
      <c r="K801" s="10" t="str">
        <f ca="1">DATEDIF('DATA PENDUDUK'!$G801,TODAY(),"Y")&amp; " TAHUN"</f>
        <v>29 TAHUN</v>
      </c>
      <c r="L801" s="24" t="s">
        <v>1857</v>
      </c>
    </row>
    <row r="802" spans="1:12" ht="20.100000000000001" customHeight="1" x14ac:dyDescent="0.25">
      <c r="A802" s="8">
        <f t="shared" si="12"/>
        <v>799</v>
      </c>
      <c r="B802" s="21" t="s">
        <v>1968</v>
      </c>
      <c r="C802" s="21" t="s">
        <v>1971</v>
      </c>
      <c r="D802" s="22" t="s">
        <v>1972</v>
      </c>
      <c r="E802" s="22" t="s">
        <v>24</v>
      </c>
      <c r="F802" s="22" t="s">
        <v>955</v>
      </c>
      <c r="G802" s="23">
        <v>37106</v>
      </c>
      <c r="H802" s="22" t="s">
        <v>438</v>
      </c>
      <c r="I802" s="22" t="s">
        <v>40</v>
      </c>
      <c r="J802" s="22" t="s">
        <v>32</v>
      </c>
      <c r="K802" s="10" t="str">
        <f ca="1">DATEDIF('DATA PENDUDUK'!$G802,TODAY(),"Y")&amp; " TAHUN"</f>
        <v>23 TAHUN</v>
      </c>
      <c r="L802" s="24" t="s">
        <v>1857</v>
      </c>
    </row>
    <row r="803" spans="1:12" ht="20.100000000000001" customHeight="1" x14ac:dyDescent="0.25">
      <c r="A803" s="8">
        <f t="shared" si="12"/>
        <v>800</v>
      </c>
      <c r="B803" s="21" t="s">
        <v>1968</v>
      </c>
      <c r="C803" s="21" t="s">
        <v>1973</v>
      </c>
      <c r="D803" s="22" t="s">
        <v>1974</v>
      </c>
      <c r="E803" s="22" t="s">
        <v>24</v>
      </c>
      <c r="F803" s="22" t="s">
        <v>955</v>
      </c>
      <c r="G803" s="23">
        <v>37743</v>
      </c>
      <c r="H803" s="22" t="s">
        <v>438</v>
      </c>
      <c r="I803" s="22" t="s">
        <v>40</v>
      </c>
      <c r="J803" s="22" t="s">
        <v>32</v>
      </c>
      <c r="K803" s="10" t="str">
        <f ca="1">DATEDIF('DATA PENDUDUK'!$G803,TODAY(),"Y")&amp; " TAHUN"</f>
        <v>22 TAHUN</v>
      </c>
      <c r="L803" s="24" t="s">
        <v>1857</v>
      </c>
    </row>
    <row r="804" spans="1:12" ht="20.100000000000001" customHeight="1" x14ac:dyDescent="0.25">
      <c r="A804" s="8">
        <f t="shared" si="12"/>
        <v>801</v>
      </c>
      <c r="B804" s="21" t="s">
        <v>1968</v>
      </c>
      <c r="C804" s="21" t="s">
        <v>1975</v>
      </c>
      <c r="D804" s="22" t="s">
        <v>1976</v>
      </c>
      <c r="E804" s="22" t="s">
        <v>24</v>
      </c>
      <c r="F804" s="22" t="s">
        <v>1868</v>
      </c>
      <c r="G804" s="23">
        <v>38539</v>
      </c>
      <c r="H804" s="22" t="s">
        <v>438</v>
      </c>
      <c r="I804" s="22" t="s">
        <v>40</v>
      </c>
      <c r="J804" s="22" t="s">
        <v>32</v>
      </c>
      <c r="K804" s="10" t="str">
        <f ca="1">DATEDIF('DATA PENDUDUK'!$G804,TODAY(),"Y")&amp; " TAHUN"</f>
        <v>20 TAHUN</v>
      </c>
      <c r="L804" s="24" t="s">
        <v>1857</v>
      </c>
    </row>
    <row r="805" spans="1:12" ht="20.100000000000001" customHeight="1" x14ac:dyDescent="0.25">
      <c r="A805" s="8">
        <f t="shared" si="12"/>
        <v>802</v>
      </c>
      <c r="B805" s="21" t="s">
        <v>1968</v>
      </c>
      <c r="C805" s="21" t="s">
        <v>1977</v>
      </c>
      <c r="D805" s="22" t="s">
        <v>1978</v>
      </c>
      <c r="E805" s="22" t="s">
        <v>671</v>
      </c>
      <c r="F805" s="22" t="s">
        <v>1868</v>
      </c>
      <c r="G805" s="23">
        <v>39543</v>
      </c>
      <c r="H805" s="22" t="s">
        <v>438</v>
      </c>
      <c r="I805" s="22" t="s">
        <v>40</v>
      </c>
      <c r="J805" s="22" t="s">
        <v>32</v>
      </c>
      <c r="K805" s="10" t="str">
        <f ca="1">DATEDIF('DATA PENDUDUK'!$G805,TODAY(),"Y")&amp; " TAHUN"</f>
        <v>17 TAHUN</v>
      </c>
      <c r="L805" s="24" t="s">
        <v>1857</v>
      </c>
    </row>
    <row r="806" spans="1:12" ht="20.100000000000001" customHeight="1" x14ac:dyDescent="0.25">
      <c r="A806" s="8">
        <f t="shared" si="12"/>
        <v>803</v>
      </c>
      <c r="B806" s="21" t="s">
        <v>1979</v>
      </c>
      <c r="C806" s="21" t="s">
        <v>1980</v>
      </c>
      <c r="D806" s="22" t="s">
        <v>1981</v>
      </c>
      <c r="E806" s="22" t="s">
        <v>671</v>
      </c>
      <c r="F806" s="22" t="s">
        <v>955</v>
      </c>
      <c r="G806" s="23">
        <v>29473</v>
      </c>
      <c r="H806" s="22" t="s">
        <v>438</v>
      </c>
      <c r="I806" s="22" t="s">
        <v>19</v>
      </c>
      <c r="J806" s="22" t="s">
        <v>20</v>
      </c>
      <c r="K806" s="10" t="str">
        <f ca="1">DATEDIF('DATA PENDUDUK'!$G806,TODAY(),"Y")&amp; " TAHUN"</f>
        <v>44 TAHUN</v>
      </c>
      <c r="L806" s="24" t="s">
        <v>1857</v>
      </c>
    </row>
    <row r="807" spans="1:12" ht="20.100000000000001" customHeight="1" x14ac:dyDescent="0.25">
      <c r="A807" s="8">
        <f t="shared" si="12"/>
        <v>804</v>
      </c>
      <c r="B807" s="21" t="s">
        <v>1979</v>
      </c>
      <c r="C807" s="21" t="s">
        <v>1982</v>
      </c>
      <c r="D807" s="22" t="s">
        <v>1983</v>
      </c>
      <c r="E807" s="22" t="s">
        <v>671</v>
      </c>
      <c r="F807" s="22" t="s">
        <v>955</v>
      </c>
      <c r="G807" s="23">
        <v>32698</v>
      </c>
      <c r="H807" s="22" t="s">
        <v>438</v>
      </c>
      <c r="I807" s="22" t="s">
        <v>40</v>
      </c>
      <c r="J807" s="22" t="s">
        <v>37</v>
      </c>
      <c r="K807" s="10" t="str">
        <f ca="1">DATEDIF('DATA PENDUDUK'!$G807,TODAY(),"Y")&amp; " TAHUN"</f>
        <v>36 TAHUN</v>
      </c>
      <c r="L807" s="24" t="s">
        <v>1857</v>
      </c>
    </row>
    <row r="808" spans="1:12" ht="20.100000000000001" customHeight="1" x14ac:dyDescent="0.25">
      <c r="A808" s="8">
        <f t="shared" si="12"/>
        <v>805</v>
      </c>
      <c r="B808" s="21" t="s">
        <v>1979</v>
      </c>
      <c r="C808" s="21" t="s">
        <v>1984</v>
      </c>
      <c r="D808" s="22" t="s">
        <v>1985</v>
      </c>
      <c r="E808" s="22" t="s">
        <v>24</v>
      </c>
      <c r="F808" s="22" t="s">
        <v>1986</v>
      </c>
      <c r="G808" s="23">
        <v>34075</v>
      </c>
      <c r="H808" s="22" t="s">
        <v>438</v>
      </c>
      <c r="I808" s="22" t="s">
        <v>40</v>
      </c>
      <c r="J808" s="22" t="s">
        <v>37</v>
      </c>
      <c r="K808" s="10" t="str">
        <f ca="1">DATEDIF('DATA PENDUDUK'!$G808,TODAY(),"Y")&amp; " TAHUN"</f>
        <v>32 TAHUN</v>
      </c>
      <c r="L808" s="24" t="s">
        <v>1857</v>
      </c>
    </row>
    <row r="809" spans="1:12" ht="20.100000000000001" customHeight="1" x14ac:dyDescent="0.25">
      <c r="A809" s="8">
        <f t="shared" si="12"/>
        <v>806</v>
      </c>
      <c r="B809" s="21" t="s">
        <v>1979</v>
      </c>
      <c r="C809" s="21" t="s">
        <v>1987</v>
      </c>
      <c r="D809" s="22" t="s">
        <v>1988</v>
      </c>
      <c r="E809" s="22" t="s">
        <v>671</v>
      </c>
      <c r="F809" s="22" t="s">
        <v>955</v>
      </c>
      <c r="G809" s="23">
        <v>37205</v>
      </c>
      <c r="H809" s="22" t="s">
        <v>438</v>
      </c>
      <c r="I809" s="22" t="s">
        <v>40</v>
      </c>
      <c r="J809" s="22" t="s">
        <v>37</v>
      </c>
      <c r="K809" s="10" t="str">
        <f ca="1">DATEDIF('DATA PENDUDUK'!$G809,TODAY(),"Y")&amp; " TAHUN"</f>
        <v>23 TAHUN</v>
      </c>
      <c r="L809" s="24" t="s">
        <v>1857</v>
      </c>
    </row>
    <row r="810" spans="1:12" ht="20.100000000000001" customHeight="1" x14ac:dyDescent="0.25">
      <c r="A810" s="8">
        <f t="shared" si="12"/>
        <v>807</v>
      </c>
      <c r="B810" s="21" t="s">
        <v>1989</v>
      </c>
      <c r="C810" s="21" t="s">
        <v>1990</v>
      </c>
      <c r="D810" s="22" t="s">
        <v>1991</v>
      </c>
      <c r="E810" s="22" t="s">
        <v>671</v>
      </c>
      <c r="F810" s="22" t="s">
        <v>30</v>
      </c>
      <c r="G810" s="23">
        <v>37901</v>
      </c>
      <c r="H810" s="22" t="s">
        <v>438</v>
      </c>
      <c r="I810" s="22" t="s">
        <v>40</v>
      </c>
      <c r="J810" s="22" t="s">
        <v>20</v>
      </c>
      <c r="K810" s="10" t="str">
        <f ca="1">DATEDIF('DATA PENDUDUK'!$G810,TODAY(),"Y")&amp; " TAHUN"</f>
        <v>21 TAHUN</v>
      </c>
      <c r="L810" s="24" t="s">
        <v>1857</v>
      </c>
    </row>
    <row r="811" spans="1:12" ht="20.100000000000001" customHeight="1" x14ac:dyDescent="0.25">
      <c r="A811" s="8">
        <f t="shared" si="12"/>
        <v>808</v>
      </c>
      <c r="B811" s="21" t="s">
        <v>1989</v>
      </c>
      <c r="C811" s="21" t="s">
        <v>1992</v>
      </c>
      <c r="D811" s="22" t="s">
        <v>1993</v>
      </c>
      <c r="E811" s="22" t="s">
        <v>24</v>
      </c>
      <c r="F811" s="22" t="s">
        <v>1994</v>
      </c>
      <c r="G811" s="23">
        <v>38573</v>
      </c>
      <c r="H811" s="22" t="s">
        <v>438</v>
      </c>
      <c r="I811" s="22" t="s">
        <v>40</v>
      </c>
      <c r="J811" s="22" t="s">
        <v>27</v>
      </c>
      <c r="K811" s="10" t="str">
        <f ca="1">DATEDIF('DATA PENDUDUK'!$G811,TODAY(),"Y")&amp; " TAHUN"</f>
        <v>19 TAHUN</v>
      </c>
      <c r="L811" s="24" t="s">
        <v>1857</v>
      </c>
    </row>
    <row r="812" spans="1:12" ht="20.100000000000001" customHeight="1" x14ac:dyDescent="0.25">
      <c r="A812" s="8">
        <f t="shared" si="12"/>
        <v>809</v>
      </c>
      <c r="B812" s="21" t="s">
        <v>1989</v>
      </c>
      <c r="C812" s="21" t="s">
        <v>1995</v>
      </c>
      <c r="D812" s="22" t="s">
        <v>1996</v>
      </c>
      <c r="E812" s="22" t="s">
        <v>24</v>
      </c>
      <c r="F812" s="22" t="s">
        <v>30</v>
      </c>
      <c r="G812" s="23">
        <v>44955</v>
      </c>
      <c r="H812" s="22" t="s">
        <v>438</v>
      </c>
      <c r="I812" s="22" t="s">
        <v>40</v>
      </c>
      <c r="J812" s="22" t="s">
        <v>32</v>
      </c>
      <c r="K812" s="10" t="str">
        <f ca="1">DATEDIF('DATA PENDUDUK'!$G812,TODAY(),"Y")&amp; " TAHUN"</f>
        <v>2 TAHUN</v>
      </c>
      <c r="L812" s="24" t="s">
        <v>1857</v>
      </c>
    </row>
    <row r="813" spans="1:12" ht="20.100000000000001" customHeight="1" x14ac:dyDescent="0.25">
      <c r="A813" s="8">
        <f t="shared" si="12"/>
        <v>810</v>
      </c>
      <c r="B813" s="21" t="s">
        <v>1997</v>
      </c>
      <c r="C813" s="21" t="s">
        <v>1998</v>
      </c>
      <c r="D813" s="22" t="s">
        <v>1999</v>
      </c>
      <c r="E813" s="22" t="s">
        <v>671</v>
      </c>
      <c r="F813" s="22" t="s">
        <v>2000</v>
      </c>
      <c r="G813" s="23">
        <v>35456</v>
      </c>
      <c r="H813" s="26" t="s">
        <v>35</v>
      </c>
      <c r="I813" s="22" t="s">
        <v>40</v>
      </c>
      <c r="J813" s="22" t="s">
        <v>20</v>
      </c>
      <c r="K813" s="10" t="str">
        <f ca="1">DATEDIF('DATA PENDUDUK'!$G813,TODAY(),"Y")&amp; " TAHUN"</f>
        <v>28 TAHUN</v>
      </c>
      <c r="L813" s="24" t="s">
        <v>1857</v>
      </c>
    </row>
    <row r="814" spans="1:12" ht="20.100000000000001" customHeight="1" x14ac:dyDescent="0.25">
      <c r="A814" s="8">
        <f t="shared" si="12"/>
        <v>811</v>
      </c>
      <c r="B814" s="21" t="s">
        <v>1997</v>
      </c>
      <c r="C814" s="21" t="s">
        <v>2001</v>
      </c>
      <c r="D814" s="22" t="s">
        <v>2002</v>
      </c>
      <c r="E814" s="22" t="s">
        <v>24</v>
      </c>
      <c r="F814" s="22" t="s">
        <v>376</v>
      </c>
      <c r="G814" s="23">
        <v>36225</v>
      </c>
      <c r="H814" s="22" t="s">
        <v>438</v>
      </c>
      <c r="I814" s="22" t="s">
        <v>40</v>
      </c>
      <c r="J814" s="22" t="s">
        <v>37</v>
      </c>
      <c r="K814" s="10" t="str">
        <f ca="1">DATEDIF('DATA PENDUDUK'!$G814,TODAY(),"Y")&amp; " TAHUN"</f>
        <v>26 TAHUN</v>
      </c>
      <c r="L814" s="24" t="s">
        <v>1857</v>
      </c>
    </row>
    <row r="815" spans="1:12" ht="20.100000000000001" customHeight="1" x14ac:dyDescent="0.25">
      <c r="A815" s="8">
        <f t="shared" si="12"/>
        <v>812</v>
      </c>
      <c r="B815" s="21" t="s">
        <v>2003</v>
      </c>
      <c r="C815" s="21" t="s">
        <v>2004</v>
      </c>
      <c r="D815" s="22" t="s">
        <v>2005</v>
      </c>
      <c r="E815" s="22" t="s">
        <v>24</v>
      </c>
      <c r="F815" s="22" t="s">
        <v>2006</v>
      </c>
      <c r="G815" s="23">
        <v>30237</v>
      </c>
      <c r="H815" s="22" t="s">
        <v>438</v>
      </c>
      <c r="I815" s="22" t="s">
        <v>26</v>
      </c>
      <c r="J815" s="22" t="s">
        <v>20</v>
      </c>
      <c r="K815" s="10" t="str">
        <f ca="1">DATEDIF('DATA PENDUDUK'!$G815,TODAY(),"Y")&amp; " TAHUN"</f>
        <v>42 TAHUN</v>
      </c>
      <c r="L815" s="24" t="s">
        <v>1857</v>
      </c>
    </row>
    <row r="816" spans="1:12" ht="20.100000000000001" customHeight="1" x14ac:dyDescent="0.25">
      <c r="A816" s="8">
        <f t="shared" si="12"/>
        <v>813</v>
      </c>
      <c r="B816" s="21" t="s">
        <v>2003</v>
      </c>
      <c r="C816" s="21" t="s">
        <v>2007</v>
      </c>
      <c r="D816" s="22" t="s">
        <v>2008</v>
      </c>
      <c r="E816" s="22" t="s">
        <v>671</v>
      </c>
      <c r="F816" s="22" t="s">
        <v>30</v>
      </c>
      <c r="G816" s="23">
        <v>41275</v>
      </c>
      <c r="H816" s="22" t="s">
        <v>438</v>
      </c>
      <c r="I816" s="22" t="s">
        <v>31</v>
      </c>
      <c r="J816" s="22" t="s">
        <v>32</v>
      </c>
      <c r="K816" s="10" t="str">
        <f ca="1">DATEDIF('DATA PENDUDUK'!$G816,TODAY(),"Y")&amp; " TAHUN"</f>
        <v>12 TAHUN</v>
      </c>
      <c r="L816" s="24" t="s">
        <v>1857</v>
      </c>
    </row>
    <row r="817" spans="1:12" ht="20.100000000000001" customHeight="1" x14ac:dyDescent="0.25">
      <c r="A817" s="8">
        <f t="shared" si="12"/>
        <v>814</v>
      </c>
      <c r="B817" s="21" t="s">
        <v>2009</v>
      </c>
      <c r="C817" s="21" t="s">
        <v>2010</v>
      </c>
      <c r="D817" s="22" t="s">
        <v>2011</v>
      </c>
      <c r="E817" s="22" t="s">
        <v>671</v>
      </c>
      <c r="F817" s="22" t="s">
        <v>955</v>
      </c>
      <c r="G817" s="23">
        <v>23219</v>
      </c>
      <c r="H817" s="22" t="s">
        <v>438</v>
      </c>
      <c r="I817" s="22" t="s">
        <v>789</v>
      </c>
      <c r="J817" s="22" t="s">
        <v>20</v>
      </c>
      <c r="K817" s="10" t="str">
        <f ca="1">DATEDIF('DATA PENDUDUK'!$G817,TODAY(),"Y")&amp; " TAHUN"</f>
        <v>61 TAHUN</v>
      </c>
      <c r="L817" s="24" t="s">
        <v>1857</v>
      </c>
    </row>
    <row r="818" spans="1:12" ht="20.100000000000001" customHeight="1" x14ac:dyDescent="0.25">
      <c r="A818" s="8">
        <f t="shared" si="12"/>
        <v>815</v>
      </c>
      <c r="B818" s="21" t="s">
        <v>2009</v>
      </c>
      <c r="C818" s="21" t="s">
        <v>2012</v>
      </c>
      <c r="D818" s="22" t="s">
        <v>2013</v>
      </c>
      <c r="E818" s="22" t="s">
        <v>24</v>
      </c>
      <c r="F818" s="22" t="s">
        <v>955</v>
      </c>
      <c r="G818" s="23">
        <v>22553</v>
      </c>
      <c r="H818" s="22" t="s">
        <v>438</v>
      </c>
      <c r="I818" s="22" t="s">
        <v>26</v>
      </c>
      <c r="J818" s="22" t="s">
        <v>27</v>
      </c>
      <c r="K818" s="10" t="str">
        <f ca="1">DATEDIF('DATA PENDUDUK'!$G818,TODAY(),"Y")&amp; " TAHUN"</f>
        <v>63 TAHUN</v>
      </c>
      <c r="L818" s="24" t="s">
        <v>1857</v>
      </c>
    </row>
    <row r="819" spans="1:12" ht="20.100000000000001" customHeight="1" x14ac:dyDescent="0.25">
      <c r="A819" s="8">
        <f t="shared" si="12"/>
        <v>816</v>
      </c>
      <c r="B819" s="21" t="s">
        <v>2009</v>
      </c>
      <c r="C819" s="21" t="s">
        <v>1951</v>
      </c>
      <c r="D819" s="22" t="s">
        <v>1952</v>
      </c>
      <c r="E819" s="22" t="s">
        <v>671</v>
      </c>
      <c r="F819" s="22" t="s">
        <v>1953</v>
      </c>
      <c r="G819" s="23">
        <v>37598</v>
      </c>
      <c r="H819" s="22" t="s">
        <v>438</v>
      </c>
      <c r="I819" s="22" t="s">
        <v>40</v>
      </c>
      <c r="J819" s="22" t="s">
        <v>32</v>
      </c>
      <c r="K819" s="10" t="str">
        <f ca="1">DATEDIF('DATA PENDUDUK'!$G819,TODAY(),"Y")&amp; " TAHUN"</f>
        <v>22 TAHUN</v>
      </c>
      <c r="L819" s="24" t="s">
        <v>1857</v>
      </c>
    </row>
    <row r="820" spans="1:12" ht="20.100000000000001" customHeight="1" x14ac:dyDescent="0.25">
      <c r="A820" s="8">
        <f t="shared" si="12"/>
        <v>817</v>
      </c>
      <c r="B820" s="21" t="s">
        <v>2009</v>
      </c>
      <c r="C820" s="21" t="s">
        <v>2014</v>
      </c>
      <c r="D820" s="22" t="s">
        <v>2015</v>
      </c>
      <c r="E820" s="22" t="s">
        <v>671</v>
      </c>
      <c r="F820" s="22" t="s">
        <v>1953</v>
      </c>
      <c r="G820" s="23">
        <v>37680</v>
      </c>
      <c r="H820" s="22" t="s">
        <v>438</v>
      </c>
      <c r="I820" s="22" t="s">
        <v>40</v>
      </c>
      <c r="J820" s="22" t="s">
        <v>32</v>
      </c>
      <c r="K820" s="10" t="str">
        <f ca="1">DATEDIF('DATA PENDUDUK'!$G820,TODAY(),"Y")&amp; " TAHUN"</f>
        <v>22 TAHUN</v>
      </c>
      <c r="L820" s="24" t="s">
        <v>1857</v>
      </c>
    </row>
    <row r="821" spans="1:12" ht="20.100000000000001" customHeight="1" x14ac:dyDescent="0.25">
      <c r="A821" s="8">
        <f t="shared" si="12"/>
        <v>818</v>
      </c>
      <c r="B821" s="21" t="s">
        <v>2009</v>
      </c>
      <c r="C821" s="21" t="s">
        <v>2016</v>
      </c>
      <c r="D821" s="22" t="s">
        <v>2017</v>
      </c>
      <c r="E821" s="22" t="s">
        <v>24</v>
      </c>
      <c r="F821" s="22" t="s">
        <v>30</v>
      </c>
      <c r="G821" s="23">
        <v>38509</v>
      </c>
      <c r="H821" s="22" t="s">
        <v>438</v>
      </c>
      <c r="I821" s="22" t="s">
        <v>40</v>
      </c>
      <c r="J821" s="22" t="s">
        <v>32</v>
      </c>
      <c r="K821" s="10" t="str">
        <f ca="1">DATEDIF('DATA PENDUDUK'!$G821,TODAY(),"Y")&amp; " TAHUN"</f>
        <v>20 TAHUN</v>
      </c>
      <c r="L821" s="24" t="s">
        <v>1857</v>
      </c>
    </row>
    <row r="822" spans="1:12" ht="20.100000000000001" customHeight="1" x14ac:dyDescent="0.25">
      <c r="A822" s="8">
        <f t="shared" si="12"/>
        <v>819</v>
      </c>
      <c r="B822" s="21" t="s">
        <v>2009</v>
      </c>
      <c r="C822" s="21" t="s">
        <v>2018</v>
      </c>
      <c r="D822" s="22" t="s">
        <v>2019</v>
      </c>
      <c r="E822" s="22" t="s">
        <v>24</v>
      </c>
      <c r="F822" s="22" t="s">
        <v>30</v>
      </c>
      <c r="G822" s="23">
        <v>40253</v>
      </c>
      <c r="H822" s="22" t="s">
        <v>438</v>
      </c>
      <c r="I822" s="22" t="s">
        <v>31</v>
      </c>
      <c r="J822" s="22" t="s">
        <v>32</v>
      </c>
      <c r="K822" s="10" t="str">
        <f ca="1">DATEDIF('DATA PENDUDUK'!$G822,TODAY(),"Y")&amp; " TAHUN"</f>
        <v>15 TAHUN</v>
      </c>
      <c r="L822" s="24" t="s">
        <v>1857</v>
      </c>
    </row>
    <row r="823" spans="1:12" ht="20.100000000000001" customHeight="1" x14ac:dyDescent="0.25">
      <c r="A823" s="8">
        <f t="shared" si="12"/>
        <v>820</v>
      </c>
      <c r="B823" s="21" t="s">
        <v>2009</v>
      </c>
      <c r="C823" s="21" t="s">
        <v>2020</v>
      </c>
      <c r="D823" s="22" t="s">
        <v>2021</v>
      </c>
      <c r="E823" s="22" t="s">
        <v>671</v>
      </c>
      <c r="F823" s="22" t="s">
        <v>2022</v>
      </c>
      <c r="G823" s="23">
        <v>37888</v>
      </c>
      <c r="H823" s="22" t="s">
        <v>438</v>
      </c>
      <c r="I823" s="22" t="s">
        <v>40</v>
      </c>
      <c r="J823" s="22" t="s">
        <v>37</v>
      </c>
      <c r="K823" s="10" t="str">
        <f ca="1">DATEDIF('DATA PENDUDUK'!$G823,TODAY(),"Y")&amp; " TAHUN"</f>
        <v>21 TAHUN</v>
      </c>
      <c r="L823" s="24" t="s">
        <v>1857</v>
      </c>
    </row>
    <row r="824" spans="1:12" ht="20.100000000000001" customHeight="1" x14ac:dyDescent="0.25">
      <c r="A824" s="8">
        <f t="shared" si="12"/>
        <v>821</v>
      </c>
      <c r="B824" s="21" t="s">
        <v>2009</v>
      </c>
      <c r="C824" s="21" t="s">
        <v>2023</v>
      </c>
      <c r="D824" s="22" t="s">
        <v>2024</v>
      </c>
      <c r="E824" s="22" t="s">
        <v>671</v>
      </c>
      <c r="F824" s="22" t="s">
        <v>2022</v>
      </c>
      <c r="G824" s="23">
        <v>40889</v>
      </c>
      <c r="H824" s="22" t="s">
        <v>438</v>
      </c>
      <c r="I824" s="22" t="s">
        <v>31</v>
      </c>
      <c r="J824" s="22" t="s">
        <v>37</v>
      </c>
      <c r="K824" s="10" t="str">
        <f ca="1">DATEDIF('DATA PENDUDUK'!$G824,TODAY(),"Y")&amp; " TAHUN"</f>
        <v>13 TAHUN</v>
      </c>
      <c r="L824" s="24" t="s">
        <v>1857</v>
      </c>
    </row>
    <row r="825" spans="1:12" ht="20.100000000000001" customHeight="1" x14ac:dyDescent="0.25">
      <c r="A825" s="8">
        <f t="shared" si="12"/>
        <v>822</v>
      </c>
      <c r="B825" s="21" t="s">
        <v>2025</v>
      </c>
      <c r="C825" s="21" t="s">
        <v>2026</v>
      </c>
      <c r="D825" s="22" t="s">
        <v>2027</v>
      </c>
      <c r="E825" s="22" t="s">
        <v>671</v>
      </c>
      <c r="F825" s="22" t="s">
        <v>955</v>
      </c>
      <c r="G825" s="23">
        <v>36318</v>
      </c>
      <c r="H825" s="22" t="s">
        <v>438</v>
      </c>
      <c r="I825" s="22" t="s">
        <v>40</v>
      </c>
      <c r="J825" s="22" t="s">
        <v>20</v>
      </c>
      <c r="K825" s="10" t="str">
        <f ca="1">DATEDIF('DATA PENDUDUK'!$G825,TODAY(),"Y")&amp; " TAHUN"</f>
        <v>26 TAHUN</v>
      </c>
      <c r="L825" s="24" t="s">
        <v>1857</v>
      </c>
    </row>
    <row r="826" spans="1:12" ht="20.100000000000001" customHeight="1" x14ac:dyDescent="0.25">
      <c r="A826" s="8">
        <f t="shared" si="12"/>
        <v>823</v>
      </c>
      <c r="B826" s="21" t="s">
        <v>2028</v>
      </c>
      <c r="C826" s="21" t="s">
        <v>2029</v>
      </c>
      <c r="D826" s="22" t="s">
        <v>2030</v>
      </c>
      <c r="E826" s="22" t="s">
        <v>671</v>
      </c>
      <c r="F826" s="22" t="s">
        <v>955</v>
      </c>
      <c r="G826" s="23">
        <v>28281</v>
      </c>
      <c r="H826" s="22" t="s">
        <v>438</v>
      </c>
      <c r="I826" s="22" t="s">
        <v>40</v>
      </c>
      <c r="J826" s="22" t="s">
        <v>20</v>
      </c>
      <c r="K826" s="10" t="str">
        <f ca="1">DATEDIF('DATA PENDUDUK'!$G826,TODAY(),"Y")&amp; " TAHUN"</f>
        <v>48 TAHUN</v>
      </c>
      <c r="L826" s="24" t="s">
        <v>1857</v>
      </c>
    </row>
    <row r="827" spans="1:12" ht="20.100000000000001" customHeight="1" x14ac:dyDescent="0.25">
      <c r="A827" s="8">
        <f t="shared" si="12"/>
        <v>824</v>
      </c>
      <c r="B827" s="21" t="s">
        <v>2028</v>
      </c>
      <c r="C827" s="21" t="s">
        <v>2031</v>
      </c>
      <c r="D827" s="22" t="s">
        <v>2032</v>
      </c>
      <c r="E827" s="22" t="s">
        <v>24</v>
      </c>
      <c r="F827" s="22" t="s">
        <v>955</v>
      </c>
      <c r="G827" s="23">
        <v>32391</v>
      </c>
      <c r="H827" s="22" t="s">
        <v>438</v>
      </c>
      <c r="I827" s="22" t="s">
        <v>26</v>
      </c>
      <c r="J827" s="22" t="s">
        <v>27</v>
      </c>
      <c r="K827" s="10" t="str">
        <f ca="1">DATEDIF('DATA PENDUDUK'!$G827,TODAY(),"Y")&amp; " TAHUN"</f>
        <v>36 TAHUN</v>
      </c>
      <c r="L827" s="24" t="s">
        <v>1857</v>
      </c>
    </row>
    <row r="828" spans="1:12" ht="20.100000000000001" customHeight="1" x14ac:dyDescent="0.25">
      <c r="A828" s="8">
        <f t="shared" si="12"/>
        <v>825</v>
      </c>
      <c r="B828" s="21" t="s">
        <v>2028</v>
      </c>
      <c r="C828" s="21" t="s">
        <v>1954</v>
      </c>
      <c r="D828" s="22" t="s">
        <v>1955</v>
      </c>
      <c r="E828" s="22" t="s">
        <v>24</v>
      </c>
      <c r="F828" s="22" t="s">
        <v>1868</v>
      </c>
      <c r="G828" s="23">
        <v>38599</v>
      </c>
      <c r="H828" s="22" t="s">
        <v>438</v>
      </c>
      <c r="I828" s="22" t="s">
        <v>40</v>
      </c>
      <c r="J828" s="22" t="s">
        <v>32</v>
      </c>
      <c r="K828" s="10" t="str">
        <f ca="1">DATEDIF('DATA PENDUDUK'!$G828,TODAY(),"Y")&amp; " TAHUN"</f>
        <v>19 TAHUN</v>
      </c>
      <c r="L828" s="24" t="s">
        <v>1857</v>
      </c>
    </row>
    <row r="829" spans="1:12" ht="20.100000000000001" customHeight="1" x14ac:dyDescent="0.25">
      <c r="A829" s="8">
        <f t="shared" si="12"/>
        <v>826</v>
      </c>
      <c r="B829" s="21" t="s">
        <v>2028</v>
      </c>
      <c r="C829" s="21" t="s">
        <v>2033</v>
      </c>
      <c r="D829" s="22" t="s">
        <v>2034</v>
      </c>
      <c r="E829" s="22" t="s">
        <v>24</v>
      </c>
      <c r="F829" s="22" t="s">
        <v>1868</v>
      </c>
      <c r="G829" s="23">
        <v>39114</v>
      </c>
      <c r="H829" s="22" t="s">
        <v>438</v>
      </c>
      <c r="I829" s="22" t="s">
        <v>40</v>
      </c>
      <c r="J829" s="22" t="s">
        <v>32</v>
      </c>
      <c r="K829" s="10" t="str">
        <f ca="1">DATEDIF('DATA PENDUDUK'!$G829,TODAY(),"Y")&amp; " TAHUN"</f>
        <v>18 TAHUN</v>
      </c>
      <c r="L829" s="24" t="s">
        <v>1857</v>
      </c>
    </row>
    <row r="830" spans="1:12" ht="20.100000000000001" customHeight="1" x14ac:dyDescent="0.25">
      <c r="A830" s="8">
        <f t="shared" si="12"/>
        <v>827</v>
      </c>
      <c r="B830" s="21" t="s">
        <v>2028</v>
      </c>
      <c r="C830" s="21" t="s">
        <v>2035</v>
      </c>
      <c r="D830" s="22" t="s">
        <v>2036</v>
      </c>
      <c r="E830" s="22" t="s">
        <v>24</v>
      </c>
      <c r="F830" s="22" t="s">
        <v>1868</v>
      </c>
      <c r="G830" s="23">
        <v>39736</v>
      </c>
      <c r="H830" s="22" t="s">
        <v>438</v>
      </c>
      <c r="I830" s="22" t="s">
        <v>31</v>
      </c>
      <c r="J830" s="22" t="s">
        <v>32</v>
      </c>
      <c r="K830" s="10" t="str">
        <f ca="1">DATEDIF('DATA PENDUDUK'!$G830,TODAY(),"Y")&amp; " TAHUN"</f>
        <v>16 TAHUN</v>
      </c>
      <c r="L830" s="24" t="s">
        <v>1857</v>
      </c>
    </row>
    <row r="831" spans="1:12" ht="20.100000000000001" customHeight="1" x14ac:dyDescent="0.25">
      <c r="A831" s="8">
        <f t="shared" si="12"/>
        <v>828</v>
      </c>
      <c r="B831" s="21" t="s">
        <v>2028</v>
      </c>
      <c r="C831" s="21" t="s">
        <v>2037</v>
      </c>
      <c r="D831" s="22" t="s">
        <v>2038</v>
      </c>
      <c r="E831" s="22" t="s">
        <v>24</v>
      </c>
      <c r="F831" s="22" t="s">
        <v>1868</v>
      </c>
      <c r="G831" s="23">
        <v>41450</v>
      </c>
      <c r="H831" s="22" t="s">
        <v>438</v>
      </c>
      <c r="I831" s="22" t="s">
        <v>31</v>
      </c>
      <c r="J831" s="22" t="s">
        <v>32</v>
      </c>
      <c r="K831" s="10" t="str">
        <f ca="1">DATEDIF('DATA PENDUDUK'!$G831,TODAY(),"Y")&amp; " TAHUN"</f>
        <v>12 TAHUN</v>
      </c>
      <c r="L831" s="24" t="s">
        <v>1857</v>
      </c>
    </row>
    <row r="832" spans="1:12" ht="20.100000000000001" customHeight="1" x14ac:dyDescent="0.25">
      <c r="A832" s="8">
        <f t="shared" si="12"/>
        <v>829</v>
      </c>
      <c r="B832" s="21" t="s">
        <v>2039</v>
      </c>
      <c r="C832" s="21" t="s">
        <v>2040</v>
      </c>
      <c r="D832" s="22" t="s">
        <v>2041</v>
      </c>
      <c r="E832" s="22" t="s">
        <v>671</v>
      </c>
      <c r="F832" s="22" t="s">
        <v>955</v>
      </c>
      <c r="G832" s="23">
        <v>28571</v>
      </c>
      <c r="H832" s="22" t="s">
        <v>438</v>
      </c>
      <c r="I832" s="22" t="s">
        <v>36</v>
      </c>
      <c r="J832" s="22" t="s">
        <v>20</v>
      </c>
      <c r="K832" s="10" t="str">
        <f ca="1">DATEDIF('DATA PENDUDUK'!$G832,TODAY(),"Y")&amp; " TAHUN"</f>
        <v>47 TAHUN</v>
      </c>
      <c r="L832" s="24" t="s">
        <v>1857</v>
      </c>
    </row>
    <row r="833" spans="1:12" ht="20.100000000000001" customHeight="1" x14ac:dyDescent="0.25">
      <c r="A833" s="8">
        <f t="shared" si="12"/>
        <v>830</v>
      </c>
      <c r="B833" s="21" t="s">
        <v>2039</v>
      </c>
      <c r="C833" s="21" t="s">
        <v>2042</v>
      </c>
      <c r="D833" s="22" t="s">
        <v>2043</v>
      </c>
      <c r="E833" s="22" t="s">
        <v>671</v>
      </c>
      <c r="F833" s="22" t="s">
        <v>955</v>
      </c>
      <c r="G833" s="23">
        <v>42520</v>
      </c>
      <c r="H833" s="22" t="s">
        <v>438</v>
      </c>
      <c r="I833" s="22" t="s">
        <v>31</v>
      </c>
      <c r="J833" s="22" t="s">
        <v>32</v>
      </c>
      <c r="K833" s="10" t="str">
        <f ca="1">DATEDIF('DATA PENDUDUK'!$G833,TODAY(),"Y")&amp; " TAHUN"</f>
        <v>9 TAHUN</v>
      </c>
      <c r="L833" s="24" t="s">
        <v>1857</v>
      </c>
    </row>
    <row r="834" spans="1:12" ht="20.100000000000001" customHeight="1" x14ac:dyDescent="0.25">
      <c r="A834" s="8">
        <f t="shared" si="12"/>
        <v>831</v>
      </c>
      <c r="B834" s="21" t="s">
        <v>2039</v>
      </c>
      <c r="C834" s="21" t="s">
        <v>2044</v>
      </c>
      <c r="D834" s="22" t="s">
        <v>2045</v>
      </c>
      <c r="E834" s="22" t="s">
        <v>24</v>
      </c>
      <c r="F834" s="22" t="s">
        <v>30</v>
      </c>
      <c r="G834" s="23">
        <v>35656</v>
      </c>
      <c r="H834" s="22" t="s">
        <v>438</v>
      </c>
      <c r="I834" s="22" t="s">
        <v>40</v>
      </c>
      <c r="J834" s="22" t="s">
        <v>37</v>
      </c>
      <c r="K834" s="10" t="str">
        <f ca="1">DATEDIF('DATA PENDUDUK'!$G834,TODAY(),"Y")&amp; " TAHUN"</f>
        <v>27 TAHUN</v>
      </c>
      <c r="L834" s="24" t="s">
        <v>1857</v>
      </c>
    </row>
    <row r="835" spans="1:12" ht="20.100000000000001" customHeight="1" x14ac:dyDescent="0.25">
      <c r="A835" s="8">
        <f t="shared" si="12"/>
        <v>832</v>
      </c>
      <c r="B835" s="21" t="s">
        <v>2039</v>
      </c>
      <c r="C835" s="21" t="s">
        <v>2046</v>
      </c>
      <c r="D835" s="22" t="s">
        <v>2047</v>
      </c>
      <c r="E835" s="22" t="s">
        <v>24</v>
      </c>
      <c r="F835" s="22" t="s">
        <v>30</v>
      </c>
      <c r="G835" s="23">
        <v>38417</v>
      </c>
      <c r="H835" s="22" t="s">
        <v>438</v>
      </c>
      <c r="I835" s="22" t="s">
        <v>40</v>
      </c>
      <c r="J835" s="22" t="s">
        <v>37</v>
      </c>
      <c r="K835" s="10" t="str">
        <f ca="1">DATEDIF('DATA PENDUDUK'!$G835,TODAY(),"Y")&amp; " TAHUN"</f>
        <v>20 TAHUN</v>
      </c>
      <c r="L835" s="24" t="s">
        <v>1857</v>
      </c>
    </row>
    <row r="836" spans="1:12" ht="20.100000000000001" customHeight="1" x14ac:dyDescent="0.25">
      <c r="A836" s="8">
        <f t="shared" si="12"/>
        <v>833</v>
      </c>
      <c r="B836" s="21" t="s">
        <v>2048</v>
      </c>
      <c r="C836" s="21" t="s">
        <v>2049</v>
      </c>
      <c r="D836" s="22" t="s">
        <v>2050</v>
      </c>
      <c r="E836" s="22" t="s">
        <v>671</v>
      </c>
      <c r="F836" s="22" t="s">
        <v>30</v>
      </c>
      <c r="G836" s="23">
        <v>35411</v>
      </c>
      <c r="H836" s="22" t="s">
        <v>438</v>
      </c>
      <c r="I836" s="22" t="s">
        <v>40</v>
      </c>
      <c r="J836" s="22" t="s">
        <v>20</v>
      </c>
      <c r="K836" s="10" t="str">
        <f ca="1">DATEDIF('DATA PENDUDUK'!$G836,TODAY(),"Y")&amp; " TAHUN"</f>
        <v>28 TAHUN</v>
      </c>
      <c r="L836" s="24" t="s">
        <v>1857</v>
      </c>
    </row>
    <row r="837" spans="1:12" ht="20.100000000000001" customHeight="1" x14ac:dyDescent="0.25">
      <c r="A837" s="8">
        <f t="shared" si="12"/>
        <v>834</v>
      </c>
      <c r="B837" s="21" t="s">
        <v>2048</v>
      </c>
      <c r="C837" s="21" t="s">
        <v>2051</v>
      </c>
      <c r="D837" s="22" t="s">
        <v>2052</v>
      </c>
      <c r="E837" s="22" t="s">
        <v>24</v>
      </c>
      <c r="F837" s="22" t="s">
        <v>1868</v>
      </c>
      <c r="G837" s="23">
        <v>37408</v>
      </c>
      <c r="H837" s="22" t="s">
        <v>438</v>
      </c>
      <c r="I837" s="22" t="s">
        <v>40</v>
      </c>
      <c r="J837" s="22" t="s">
        <v>37</v>
      </c>
      <c r="K837" s="10" t="str">
        <f ca="1">DATEDIF('DATA PENDUDUK'!$G837,TODAY(),"Y")&amp; " TAHUN"</f>
        <v>23 TAHUN</v>
      </c>
      <c r="L837" s="24" t="s">
        <v>1857</v>
      </c>
    </row>
    <row r="838" spans="1:12" ht="20.100000000000001" customHeight="1" x14ac:dyDescent="0.25">
      <c r="A838" s="8">
        <f t="shared" ref="A838:A901" si="13">IF(D838="","",ROW()-3)</f>
        <v>835</v>
      </c>
      <c r="B838" s="21" t="s">
        <v>2048</v>
      </c>
      <c r="C838" s="21" t="s">
        <v>2053</v>
      </c>
      <c r="D838" s="22" t="s">
        <v>2054</v>
      </c>
      <c r="E838" s="22" t="s">
        <v>24</v>
      </c>
      <c r="F838" s="22" t="s">
        <v>30</v>
      </c>
      <c r="G838" s="23">
        <v>42821</v>
      </c>
      <c r="H838" s="22" t="s">
        <v>438</v>
      </c>
      <c r="I838" s="22" t="s">
        <v>31</v>
      </c>
      <c r="J838" s="22" t="s">
        <v>37</v>
      </c>
      <c r="K838" s="10" t="str">
        <f ca="1">DATEDIF('DATA PENDUDUK'!$G838,TODAY(),"Y")&amp; " TAHUN"</f>
        <v>8 TAHUN</v>
      </c>
      <c r="L838" s="24" t="s">
        <v>1857</v>
      </c>
    </row>
    <row r="839" spans="1:12" ht="20.100000000000001" customHeight="1" x14ac:dyDescent="0.25">
      <c r="A839" s="8">
        <f t="shared" si="13"/>
        <v>836</v>
      </c>
      <c r="B839" s="21" t="s">
        <v>2048</v>
      </c>
      <c r="C839" s="21" t="s">
        <v>2055</v>
      </c>
      <c r="D839" s="22" t="s">
        <v>2056</v>
      </c>
      <c r="E839" s="22" t="s">
        <v>24</v>
      </c>
      <c r="F839" s="22" t="s">
        <v>30</v>
      </c>
      <c r="G839" s="23">
        <v>43176</v>
      </c>
      <c r="H839" s="22" t="s">
        <v>438</v>
      </c>
      <c r="I839" s="22" t="s">
        <v>31</v>
      </c>
      <c r="J839" s="22" t="s">
        <v>37</v>
      </c>
      <c r="K839" s="10" t="str">
        <f ca="1">DATEDIF('DATA PENDUDUK'!$G839,TODAY(),"Y")&amp; " TAHUN"</f>
        <v>7 TAHUN</v>
      </c>
      <c r="L839" s="24" t="s">
        <v>1857</v>
      </c>
    </row>
    <row r="840" spans="1:12" ht="20.100000000000001" customHeight="1" x14ac:dyDescent="0.25">
      <c r="A840" s="8">
        <f t="shared" si="13"/>
        <v>837</v>
      </c>
      <c r="B840" s="21" t="s">
        <v>2057</v>
      </c>
      <c r="C840" s="21" t="s">
        <v>2058</v>
      </c>
      <c r="D840" s="22" t="s">
        <v>2059</v>
      </c>
      <c r="E840" s="22" t="s">
        <v>671</v>
      </c>
      <c r="F840" s="22" t="s">
        <v>2060</v>
      </c>
      <c r="G840" s="23">
        <v>21263</v>
      </c>
      <c r="H840" s="22" t="s">
        <v>438</v>
      </c>
      <c r="I840" s="22" t="s">
        <v>36</v>
      </c>
      <c r="J840" s="22" t="s">
        <v>20</v>
      </c>
      <c r="K840" s="10" t="str">
        <f ca="1">DATEDIF('DATA PENDUDUK'!$G840,TODAY(),"Y")&amp; " TAHUN"</f>
        <v>67 TAHUN</v>
      </c>
      <c r="L840" s="24" t="s">
        <v>1857</v>
      </c>
    </row>
    <row r="841" spans="1:12" ht="20.100000000000001" customHeight="1" x14ac:dyDescent="0.25">
      <c r="A841" s="8">
        <f t="shared" si="13"/>
        <v>838</v>
      </c>
      <c r="B841" s="21" t="s">
        <v>2057</v>
      </c>
      <c r="C841" s="21" t="s">
        <v>2061</v>
      </c>
      <c r="D841" s="22" t="s">
        <v>2062</v>
      </c>
      <c r="E841" s="22" t="s">
        <v>24</v>
      </c>
      <c r="F841" s="22" t="s">
        <v>2060</v>
      </c>
      <c r="G841" s="23">
        <v>25893</v>
      </c>
      <c r="H841" s="22" t="s">
        <v>438</v>
      </c>
      <c r="I841" s="22" t="s">
        <v>26</v>
      </c>
      <c r="J841" s="22" t="s">
        <v>27</v>
      </c>
      <c r="K841" s="10" t="str">
        <f ca="1">DATEDIF('DATA PENDUDUK'!$G841,TODAY(),"Y")&amp; " TAHUN"</f>
        <v>54 TAHUN</v>
      </c>
      <c r="L841" s="24" t="s">
        <v>1857</v>
      </c>
    </row>
    <row r="842" spans="1:12" ht="20.100000000000001" customHeight="1" x14ac:dyDescent="0.25">
      <c r="A842" s="8">
        <f t="shared" si="13"/>
        <v>839</v>
      </c>
      <c r="B842" s="21" t="s">
        <v>2057</v>
      </c>
      <c r="C842" s="21" t="s">
        <v>2063</v>
      </c>
      <c r="D842" s="22" t="s">
        <v>2064</v>
      </c>
      <c r="E842" s="22" t="s">
        <v>24</v>
      </c>
      <c r="F842" s="22" t="s">
        <v>681</v>
      </c>
      <c r="G842" s="23">
        <v>34306</v>
      </c>
      <c r="H842" s="22" t="s">
        <v>438</v>
      </c>
      <c r="I842" s="22" t="s">
        <v>40</v>
      </c>
      <c r="J842" s="22" t="s">
        <v>32</v>
      </c>
      <c r="K842" s="10" t="str">
        <f ca="1">DATEDIF('DATA PENDUDUK'!$G842,TODAY(),"Y")&amp; " TAHUN"</f>
        <v>31 TAHUN</v>
      </c>
      <c r="L842" s="24" t="s">
        <v>1857</v>
      </c>
    </row>
    <row r="843" spans="1:12" ht="20.100000000000001" customHeight="1" x14ac:dyDescent="0.25">
      <c r="A843" s="8">
        <f t="shared" si="13"/>
        <v>840</v>
      </c>
      <c r="B843" s="21" t="s">
        <v>2057</v>
      </c>
      <c r="C843" s="21" t="s">
        <v>2065</v>
      </c>
      <c r="D843" s="22" t="s">
        <v>2066</v>
      </c>
      <c r="E843" s="22" t="s">
        <v>24</v>
      </c>
      <c r="F843" s="22" t="s">
        <v>681</v>
      </c>
      <c r="G843" s="23">
        <v>35154</v>
      </c>
      <c r="H843" s="22" t="s">
        <v>438</v>
      </c>
      <c r="I843" s="22" t="s">
        <v>40</v>
      </c>
      <c r="J843" s="22" t="s">
        <v>32</v>
      </c>
      <c r="K843" s="10" t="str">
        <f ca="1">DATEDIF('DATA PENDUDUK'!$G843,TODAY(),"Y")&amp; " TAHUN"</f>
        <v>29 TAHUN</v>
      </c>
      <c r="L843" s="24" t="s">
        <v>1857</v>
      </c>
    </row>
    <row r="844" spans="1:12" ht="20.100000000000001" customHeight="1" x14ac:dyDescent="0.25">
      <c r="A844" s="8">
        <f t="shared" si="13"/>
        <v>841</v>
      </c>
      <c r="B844" s="21" t="s">
        <v>2057</v>
      </c>
      <c r="C844" s="21" t="s">
        <v>2067</v>
      </c>
      <c r="D844" s="22" t="s">
        <v>2068</v>
      </c>
      <c r="E844" s="22" t="s">
        <v>671</v>
      </c>
      <c r="F844" s="22" t="s">
        <v>30</v>
      </c>
      <c r="G844" s="23">
        <v>37021</v>
      </c>
      <c r="H844" s="22" t="s">
        <v>438</v>
      </c>
      <c r="I844" s="22" t="s">
        <v>40</v>
      </c>
      <c r="J844" s="22" t="s">
        <v>32</v>
      </c>
      <c r="K844" s="10" t="str">
        <f ca="1">DATEDIF('DATA PENDUDUK'!$G844,TODAY(),"Y")&amp; " TAHUN"</f>
        <v>24 TAHUN</v>
      </c>
      <c r="L844" s="24" t="s">
        <v>1857</v>
      </c>
    </row>
    <row r="845" spans="1:12" ht="20.100000000000001" customHeight="1" x14ac:dyDescent="0.25">
      <c r="A845" s="8">
        <f t="shared" si="13"/>
        <v>842</v>
      </c>
      <c r="B845" s="21" t="s">
        <v>2057</v>
      </c>
      <c r="C845" s="21" t="s">
        <v>2069</v>
      </c>
      <c r="D845" s="22" t="s">
        <v>2070</v>
      </c>
      <c r="E845" s="22" t="s">
        <v>24</v>
      </c>
      <c r="F845" s="22" t="s">
        <v>30</v>
      </c>
      <c r="G845" s="23">
        <v>42875</v>
      </c>
      <c r="H845" s="22" t="s">
        <v>438</v>
      </c>
      <c r="I845" s="22" t="s">
        <v>31</v>
      </c>
      <c r="J845" s="22" t="s">
        <v>32</v>
      </c>
      <c r="K845" s="10" t="str">
        <f ca="1">DATEDIF('DATA PENDUDUK'!$G845,TODAY(),"Y")&amp; " TAHUN"</f>
        <v>8 TAHUN</v>
      </c>
      <c r="L845" s="24" t="s">
        <v>1857</v>
      </c>
    </row>
    <row r="846" spans="1:12" ht="20.100000000000001" customHeight="1" x14ac:dyDescent="0.25">
      <c r="A846" s="8">
        <f t="shared" si="13"/>
        <v>843</v>
      </c>
      <c r="B846" s="21" t="s">
        <v>2057</v>
      </c>
      <c r="C846" s="21" t="s">
        <v>2071</v>
      </c>
      <c r="D846" s="22" t="s">
        <v>2072</v>
      </c>
      <c r="E846" s="22" t="s">
        <v>24</v>
      </c>
      <c r="F846" s="22" t="s">
        <v>376</v>
      </c>
      <c r="G846" s="23">
        <v>38207</v>
      </c>
      <c r="H846" s="22" t="s">
        <v>438</v>
      </c>
      <c r="I846" s="22" t="s">
        <v>40</v>
      </c>
      <c r="J846" s="22" t="s">
        <v>37</v>
      </c>
      <c r="K846" s="10" t="str">
        <f ca="1">DATEDIF('DATA PENDUDUK'!$G846,TODAY(),"Y")&amp; " TAHUN"</f>
        <v>20 TAHUN</v>
      </c>
      <c r="L846" s="24" t="s">
        <v>1857</v>
      </c>
    </row>
    <row r="847" spans="1:12" ht="20.100000000000001" customHeight="1" x14ac:dyDescent="0.25">
      <c r="A847" s="8">
        <f t="shared" si="13"/>
        <v>844</v>
      </c>
      <c r="B847" s="21" t="s">
        <v>2057</v>
      </c>
      <c r="C847" s="21" t="s">
        <v>2073</v>
      </c>
      <c r="D847" s="22" t="s">
        <v>2074</v>
      </c>
      <c r="E847" s="22" t="s">
        <v>671</v>
      </c>
      <c r="F847" s="22" t="s">
        <v>681</v>
      </c>
      <c r="G847" s="23">
        <v>38728</v>
      </c>
      <c r="H847" s="22" t="s">
        <v>438</v>
      </c>
      <c r="I847" s="22" t="s">
        <v>40</v>
      </c>
      <c r="J847" s="22" t="s">
        <v>37</v>
      </c>
      <c r="K847" s="10" t="str">
        <f ca="1">DATEDIF('DATA PENDUDUK'!$G847,TODAY(),"Y")&amp; " TAHUN"</f>
        <v>19 TAHUN</v>
      </c>
      <c r="L847" s="24" t="s">
        <v>1857</v>
      </c>
    </row>
    <row r="848" spans="1:12" ht="20.100000000000001" customHeight="1" x14ac:dyDescent="0.25">
      <c r="A848" s="8">
        <f t="shared" si="13"/>
        <v>845</v>
      </c>
      <c r="B848" s="21" t="s">
        <v>2075</v>
      </c>
      <c r="C848" s="21" t="s">
        <v>2076</v>
      </c>
      <c r="D848" s="22" t="s">
        <v>2077</v>
      </c>
      <c r="E848" s="22" t="s">
        <v>671</v>
      </c>
      <c r="F848" s="22" t="s">
        <v>30</v>
      </c>
      <c r="G848" s="23">
        <v>35099</v>
      </c>
      <c r="H848" s="22" t="s">
        <v>438</v>
      </c>
      <c r="I848" s="22" t="s">
        <v>36</v>
      </c>
      <c r="J848" s="22" t="s">
        <v>20</v>
      </c>
      <c r="K848" s="10" t="str">
        <f ca="1">DATEDIF('DATA PENDUDUK'!$G848,TODAY(),"Y")&amp; " TAHUN"</f>
        <v>29 TAHUN</v>
      </c>
      <c r="L848" s="24" t="s">
        <v>1857</v>
      </c>
    </row>
    <row r="849" spans="1:12" ht="20.100000000000001" customHeight="1" x14ac:dyDescent="0.25">
      <c r="A849" s="8">
        <f t="shared" si="13"/>
        <v>846</v>
      </c>
      <c r="B849" s="21" t="s">
        <v>2075</v>
      </c>
      <c r="C849" s="21" t="s">
        <v>2078</v>
      </c>
      <c r="D849" s="22" t="s">
        <v>2079</v>
      </c>
      <c r="E849" s="22" t="s">
        <v>24</v>
      </c>
      <c r="F849" s="22" t="s">
        <v>955</v>
      </c>
      <c r="G849" s="23">
        <v>34547</v>
      </c>
      <c r="H849" s="22" t="s">
        <v>438</v>
      </c>
      <c r="I849" s="22" t="s">
        <v>36</v>
      </c>
      <c r="J849" s="22" t="s">
        <v>27</v>
      </c>
      <c r="K849" s="10" t="str">
        <f ca="1">DATEDIF('DATA PENDUDUK'!$G849,TODAY(),"Y")&amp; " TAHUN"</f>
        <v>30 TAHUN</v>
      </c>
      <c r="L849" s="24" t="s">
        <v>1857</v>
      </c>
    </row>
    <row r="850" spans="1:12" ht="20.100000000000001" customHeight="1" x14ac:dyDescent="0.25">
      <c r="A850" s="8">
        <f t="shared" si="13"/>
        <v>847</v>
      </c>
      <c r="B850" s="21" t="s">
        <v>2080</v>
      </c>
      <c r="C850" s="21" t="s">
        <v>2081</v>
      </c>
      <c r="D850" s="25" t="s">
        <v>2082</v>
      </c>
      <c r="E850" s="22" t="s">
        <v>671</v>
      </c>
      <c r="F850" s="22" t="s">
        <v>2083</v>
      </c>
      <c r="G850" s="23">
        <v>31547</v>
      </c>
      <c r="H850" s="22" t="s">
        <v>438</v>
      </c>
      <c r="I850" s="22" t="s">
        <v>40</v>
      </c>
      <c r="J850" s="22" t="s">
        <v>20</v>
      </c>
      <c r="K850" s="10" t="str">
        <f ca="1">DATEDIF('DATA PENDUDUK'!$G850,TODAY(),"Y")&amp; " TAHUN"</f>
        <v>39 TAHUN</v>
      </c>
      <c r="L850" s="24" t="s">
        <v>1857</v>
      </c>
    </row>
    <row r="851" spans="1:12" ht="20.100000000000001" customHeight="1" x14ac:dyDescent="0.25">
      <c r="A851" s="8">
        <f t="shared" si="13"/>
        <v>848</v>
      </c>
      <c r="B851" s="21" t="s">
        <v>2080</v>
      </c>
      <c r="C851" s="21" t="s">
        <v>2084</v>
      </c>
      <c r="D851" s="22" t="s">
        <v>2085</v>
      </c>
      <c r="E851" s="22" t="s">
        <v>24</v>
      </c>
      <c r="F851" s="22" t="s">
        <v>955</v>
      </c>
      <c r="G851" s="23">
        <v>32177</v>
      </c>
      <c r="H851" s="22" t="s">
        <v>438</v>
      </c>
      <c r="I851" s="22" t="s">
        <v>26</v>
      </c>
      <c r="J851" s="22" t="s">
        <v>27</v>
      </c>
      <c r="K851" s="10" t="str">
        <f ca="1">DATEDIF('DATA PENDUDUK'!$G851,TODAY(),"Y")&amp; " TAHUN"</f>
        <v>37 TAHUN</v>
      </c>
      <c r="L851" s="24" t="s">
        <v>1857</v>
      </c>
    </row>
    <row r="852" spans="1:12" ht="20.100000000000001" customHeight="1" x14ac:dyDescent="0.25">
      <c r="A852" s="8">
        <f t="shared" si="13"/>
        <v>849</v>
      </c>
      <c r="B852" s="21" t="s">
        <v>2080</v>
      </c>
      <c r="C852" s="21" t="s">
        <v>2086</v>
      </c>
      <c r="D852" s="22" t="s">
        <v>2087</v>
      </c>
      <c r="E852" s="22" t="s">
        <v>24</v>
      </c>
      <c r="F852" s="22" t="s">
        <v>30</v>
      </c>
      <c r="G852" s="23">
        <v>37426</v>
      </c>
      <c r="H852" s="22" t="s">
        <v>438</v>
      </c>
      <c r="I852" s="22" t="s">
        <v>40</v>
      </c>
      <c r="J852" s="22" t="s">
        <v>32</v>
      </c>
      <c r="K852" s="10" t="str">
        <f ca="1">DATEDIF('DATA PENDUDUK'!$G852,TODAY(),"Y")&amp; " TAHUN"</f>
        <v>23 TAHUN</v>
      </c>
      <c r="L852" s="24" t="s">
        <v>1857</v>
      </c>
    </row>
    <row r="853" spans="1:12" ht="20.100000000000001" customHeight="1" x14ac:dyDescent="0.25">
      <c r="A853" s="8">
        <f t="shared" si="13"/>
        <v>850</v>
      </c>
      <c r="B853" s="21" t="s">
        <v>2080</v>
      </c>
      <c r="C853" s="21" t="s">
        <v>2088</v>
      </c>
      <c r="D853" s="22" t="s">
        <v>2089</v>
      </c>
      <c r="E853" s="22" t="s">
        <v>671</v>
      </c>
      <c r="F853" s="22" t="s">
        <v>30</v>
      </c>
      <c r="G853" s="23">
        <v>39882</v>
      </c>
      <c r="H853" s="22" t="s">
        <v>438</v>
      </c>
      <c r="I853" s="22" t="s">
        <v>31</v>
      </c>
      <c r="J853" s="22" t="s">
        <v>32</v>
      </c>
      <c r="K853" s="10" t="str">
        <f ca="1">DATEDIF('DATA PENDUDUK'!$G853,TODAY(),"Y")&amp; " TAHUN"</f>
        <v>16 TAHUN</v>
      </c>
      <c r="L853" s="24" t="s">
        <v>1857</v>
      </c>
    </row>
    <row r="854" spans="1:12" ht="20.100000000000001" customHeight="1" x14ac:dyDescent="0.25">
      <c r="A854" s="8">
        <f t="shared" si="13"/>
        <v>851</v>
      </c>
      <c r="B854" s="21" t="s">
        <v>2080</v>
      </c>
      <c r="C854" s="21" t="s">
        <v>2090</v>
      </c>
      <c r="D854" s="22" t="s">
        <v>2091</v>
      </c>
      <c r="E854" s="22" t="s">
        <v>671</v>
      </c>
      <c r="F854" s="22" t="s">
        <v>30</v>
      </c>
      <c r="G854" s="23">
        <v>40997</v>
      </c>
      <c r="H854" s="22" t="s">
        <v>438</v>
      </c>
      <c r="I854" s="22" t="s">
        <v>31</v>
      </c>
      <c r="J854" s="22" t="s">
        <v>32</v>
      </c>
      <c r="K854" s="10" t="str">
        <f ca="1">DATEDIF('DATA PENDUDUK'!$G854,TODAY(),"Y")&amp; " TAHUN"</f>
        <v>13 TAHUN</v>
      </c>
      <c r="L854" s="24" t="s">
        <v>1857</v>
      </c>
    </row>
    <row r="855" spans="1:12" ht="20.100000000000001" customHeight="1" x14ac:dyDescent="0.25">
      <c r="A855" s="8">
        <f t="shared" si="13"/>
        <v>852</v>
      </c>
      <c r="B855" s="21" t="s">
        <v>2080</v>
      </c>
      <c r="C855" s="21" t="s">
        <v>2092</v>
      </c>
      <c r="D855" s="22" t="s">
        <v>2093</v>
      </c>
      <c r="E855" s="22" t="s">
        <v>24</v>
      </c>
      <c r="F855" s="22" t="s">
        <v>30</v>
      </c>
      <c r="G855" s="23">
        <v>42276</v>
      </c>
      <c r="H855" s="22" t="s">
        <v>438</v>
      </c>
      <c r="I855" s="22" t="s">
        <v>31</v>
      </c>
      <c r="J855" s="22" t="s">
        <v>32</v>
      </c>
      <c r="K855" s="10" t="str">
        <f ca="1">DATEDIF('DATA PENDUDUK'!$G855,TODAY(),"Y")&amp; " TAHUN"</f>
        <v>9 TAHUN</v>
      </c>
      <c r="L855" s="24" t="s">
        <v>1857</v>
      </c>
    </row>
    <row r="856" spans="1:12" ht="20.100000000000001" customHeight="1" x14ac:dyDescent="0.25">
      <c r="A856" s="8">
        <f t="shared" si="13"/>
        <v>853</v>
      </c>
      <c r="B856" s="21" t="s">
        <v>2094</v>
      </c>
      <c r="C856" s="21" t="s">
        <v>2095</v>
      </c>
      <c r="D856" s="22" t="s">
        <v>2096</v>
      </c>
      <c r="E856" s="22" t="s">
        <v>671</v>
      </c>
      <c r="F856" s="22" t="s">
        <v>955</v>
      </c>
      <c r="G856" s="23">
        <v>35981</v>
      </c>
      <c r="H856" s="22" t="s">
        <v>438</v>
      </c>
      <c r="I856" s="22" t="s">
        <v>36</v>
      </c>
      <c r="J856" s="22" t="s">
        <v>20</v>
      </c>
      <c r="K856" s="10" t="str">
        <f ca="1">DATEDIF('DATA PENDUDUK'!$G856,TODAY(),"Y")&amp; " TAHUN"</f>
        <v>27 TAHUN</v>
      </c>
      <c r="L856" s="24" t="s">
        <v>1857</v>
      </c>
    </row>
    <row r="857" spans="1:12" ht="20.100000000000001" customHeight="1" x14ac:dyDescent="0.25">
      <c r="A857" s="8">
        <f t="shared" si="13"/>
        <v>854</v>
      </c>
      <c r="B857" s="21" t="s">
        <v>2094</v>
      </c>
      <c r="C857" s="21" t="s">
        <v>2097</v>
      </c>
      <c r="D857" s="22" t="s">
        <v>2098</v>
      </c>
      <c r="E857" s="22" t="s">
        <v>24</v>
      </c>
      <c r="F857" s="22" t="s">
        <v>955</v>
      </c>
      <c r="G857" s="23">
        <v>35568</v>
      </c>
      <c r="H857" s="22" t="s">
        <v>438</v>
      </c>
      <c r="I857" s="22" t="s">
        <v>36</v>
      </c>
      <c r="J857" s="22" t="s">
        <v>27</v>
      </c>
      <c r="K857" s="10" t="str">
        <f ca="1">DATEDIF('DATA PENDUDUK'!$G857,TODAY(),"Y")&amp; " TAHUN"</f>
        <v>28 TAHUN</v>
      </c>
      <c r="L857" s="24" t="s">
        <v>1857</v>
      </c>
    </row>
    <row r="858" spans="1:12" ht="20.100000000000001" customHeight="1" x14ac:dyDescent="0.25">
      <c r="A858" s="8">
        <f t="shared" si="13"/>
        <v>855</v>
      </c>
      <c r="B858" s="21" t="s">
        <v>2099</v>
      </c>
      <c r="C858" s="21" t="s">
        <v>2100</v>
      </c>
      <c r="D858" s="22" t="s">
        <v>2101</v>
      </c>
      <c r="E858" s="22" t="s">
        <v>671</v>
      </c>
      <c r="F858" s="22" t="s">
        <v>955</v>
      </c>
      <c r="G858" s="23">
        <v>28990</v>
      </c>
      <c r="H858" s="22" t="s">
        <v>438</v>
      </c>
      <c r="I858" s="22" t="s">
        <v>36</v>
      </c>
      <c r="J858" s="22" t="s">
        <v>20</v>
      </c>
      <c r="K858" s="10" t="str">
        <f ca="1">DATEDIF('DATA PENDUDUK'!$G858,TODAY(),"Y")&amp; " TAHUN"</f>
        <v>46 TAHUN</v>
      </c>
      <c r="L858" s="24" t="s">
        <v>1857</v>
      </c>
    </row>
    <row r="859" spans="1:12" ht="20.100000000000001" customHeight="1" x14ac:dyDescent="0.25">
      <c r="A859" s="8">
        <f t="shared" si="13"/>
        <v>856</v>
      </c>
      <c r="B859" s="21" t="s">
        <v>2099</v>
      </c>
      <c r="C859" s="21" t="s">
        <v>2102</v>
      </c>
      <c r="D859" s="22" t="s">
        <v>2103</v>
      </c>
      <c r="E859" s="22" t="s">
        <v>24</v>
      </c>
      <c r="F859" s="22" t="s">
        <v>955</v>
      </c>
      <c r="G859" s="23">
        <v>29806</v>
      </c>
      <c r="H859" s="22" t="s">
        <v>438</v>
      </c>
      <c r="I859" s="22" t="s">
        <v>36</v>
      </c>
      <c r="J859" s="22" t="s">
        <v>27</v>
      </c>
      <c r="K859" s="10" t="str">
        <f ca="1">DATEDIF('DATA PENDUDUK'!$G859,TODAY(),"Y")&amp; " TAHUN"</f>
        <v>43 TAHUN</v>
      </c>
      <c r="L859" s="24" t="s">
        <v>1857</v>
      </c>
    </row>
    <row r="860" spans="1:12" ht="20.100000000000001" customHeight="1" x14ac:dyDescent="0.25">
      <c r="A860" s="8">
        <f t="shared" si="13"/>
        <v>857</v>
      </c>
      <c r="B860" s="21" t="s">
        <v>2099</v>
      </c>
      <c r="C860" s="21" t="s">
        <v>1990</v>
      </c>
      <c r="D860" s="22" t="s">
        <v>1991</v>
      </c>
      <c r="E860" s="22" t="s">
        <v>671</v>
      </c>
      <c r="F860" s="22" t="s">
        <v>955</v>
      </c>
      <c r="G860" s="23">
        <v>37050</v>
      </c>
      <c r="H860" s="22" t="s">
        <v>438</v>
      </c>
      <c r="I860" s="22" t="s">
        <v>40</v>
      </c>
      <c r="J860" s="22" t="s">
        <v>32</v>
      </c>
      <c r="K860" s="10" t="str">
        <f ca="1">DATEDIF('DATA PENDUDUK'!$G860,TODAY(),"Y")&amp; " TAHUN"</f>
        <v>24 TAHUN</v>
      </c>
      <c r="L860" s="24" t="s">
        <v>1857</v>
      </c>
    </row>
    <row r="861" spans="1:12" ht="20.100000000000001" customHeight="1" x14ac:dyDescent="0.25">
      <c r="A861" s="8">
        <f t="shared" si="13"/>
        <v>858</v>
      </c>
      <c r="B861" s="21" t="s">
        <v>2099</v>
      </c>
      <c r="C861" s="21" t="s">
        <v>2104</v>
      </c>
      <c r="D861" s="22" t="s">
        <v>1201</v>
      </c>
      <c r="E861" s="22" t="s">
        <v>24</v>
      </c>
      <c r="F861" s="22" t="s">
        <v>1868</v>
      </c>
      <c r="G861" s="23">
        <v>38272</v>
      </c>
      <c r="H861" s="22" t="s">
        <v>438</v>
      </c>
      <c r="I861" s="22" t="s">
        <v>40</v>
      </c>
      <c r="J861" s="22" t="s">
        <v>32</v>
      </c>
      <c r="K861" s="10" t="str">
        <f ca="1">DATEDIF('DATA PENDUDUK'!$G861,TODAY(),"Y")&amp; " TAHUN"</f>
        <v>20 TAHUN</v>
      </c>
      <c r="L861" s="24" t="s">
        <v>1857</v>
      </c>
    </row>
    <row r="862" spans="1:12" ht="20.100000000000001" customHeight="1" x14ac:dyDescent="0.25">
      <c r="A862" s="8">
        <f t="shared" si="13"/>
        <v>859</v>
      </c>
      <c r="B862" s="21" t="s">
        <v>2099</v>
      </c>
      <c r="C862" s="21" t="s">
        <v>2105</v>
      </c>
      <c r="D862" s="22" t="s">
        <v>2106</v>
      </c>
      <c r="E862" s="22" t="s">
        <v>671</v>
      </c>
      <c r="F862" s="22" t="s">
        <v>2107</v>
      </c>
      <c r="G862" s="23">
        <v>39820</v>
      </c>
      <c r="H862" s="22" t="s">
        <v>438</v>
      </c>
      <c r="I862" s="22" t="s">
        <v>31</v>
      </c>
      <c r="J862" s="22" t="s">
        <v>32</v>
      </c>
      <c r="K862" s="10" t="str">
        <f ca="1">DATEDIF('DATA PENDUDUK'!$G862,TODAY(),"Y")&amp; " TAHUN"</f>
        <v>16 TAHUN</v>
      </c>
      <c r="L862" s="24" t="s">
        <v>1857</v>
      </c>
    </row>
    <row r="863" spans="1:12" ht="20.100000000000001" customHeight="1" x14ac:dyDescent="0.25">
      <c r="A863" s="8">
        <f t="shared" si="13"/>
        <v>860</v>
      </c>
      <c r="B863" s="21" t="s">
        <v>2099</v>
      </c>
      <c r="C863" s="21" t="s">
        <v>2108</v>
      </c>
      <c r="D863" s="22" t="s">
        <v>2109</v>
      </c>
      <c r="E863" s="22" t="s">
        <v>671</v>
      </c>
      <c r="F863" s="22" t="s">
        <v>30</v>
      </c>
      <c r="G863" s="23">
        <v>41038</v>
      </c>
      <c r="H863" s="22" t="s">
        <v>438</v>
      </c>
      <c r="I863" s="22" t="s">
        <v>31</v>
      </c>
      <c r="J863" s="22" t="s">
        <v>32</v>
      </c>
      <c r="K863" s="10" t="str">
        <f ca="1">DATEDIF('DATA PENDUDUK'!$G863,TODAY(),"Y")&amp; " TAHUN"</f>
        <v>13 TAHUN</v>
      </c>
      <c r="L863" s="24" t="s">
        <v>1857</v>
      </c>
    </row>
    <row r="864" spans="1:12" ht="20.100000000000001" customHeight="1" x14ac:dyDescent="0.25">
      <c r="A864" s="8">
        <f t="shared" si="13"/>
        <v>861</v>
      </c>
      <c r="B864" s="21" t="s">
        <v>2110</v>
      </c>
      <c r="C864" s="21" t="s">
        <v>2111</v>
      </c>
      <c r="D864" s="22" t="s">
        <v>2112</v>
      </c>
      <c r="E864" s="22" t="s">
        <v>671</v>
      </c>
      <c r="F864" s="22" t="s">
        <v>2113</v>
      </c>
      <c r="G864" s="23">
        <v>27773</v>
      </c>
      <c r="H864" s="22" t="s">
        <v>438</v>
      </c>
      <c r="I864" s="22" t="s">
        <v>36</v>
      </c>
      <c r="J864" s="22" t="s">
        <v>20</v>
      </c>
      <c r="K864" s="10" t="str">
        <f ca="1">DATEDIF('DATA PENDUDUK'!$G864,TODAY(),"Y")&amp; " TAHUN"</f>
        <v>49 TAHUN</v>
      </c>
      <c r="L864" s="24" t="s">
        <v>2114</v>
      </c>
    </row>
    <row r="865" spans="1:12" ht="20.100000000000001" customHeight="1" x14ac:dyDescent="0.25">
      <c r="A865" s="8">
        <f t="shared" si="13"/>
        <v>862</v>
      </c>
      <c r="B865" s="21" t="s">
        <v>2115</v>
      </c>
      <c r="C865" s="21" t="s">
        <v>2116</v>
      </c>
      <c r="D865" s="22" t="s">
        <v>2117</v>
      </c>
      <c r="E865" s="22" t="s">
        <v>671</v>
      </c>
      <c r="F865" s="22" t="s">
        <v>353</v>
      </c>
      <c r="G865" s="23">
        <v>26330</v>
      </c>
      <c r="H865" s="22" t="s">
        <v>35</v>
      </c>
      <c r="I865" s="22" t="s">
        <v>2118</v>
      </c>
      <c r="J865" s="22" t="s">
        <v>20</v>
      </c>
      <c r="K865" s="10" t="str">
        <f ca="1">DATEDIF('DATA PENDUDUK'!$G865,TODAY(),"Y")&amp; " TAHUN"</f>
        <v>53 TAHUN</v>
      </c>
      <c r="L865" s="24" t="s">
        <v>2114</v>
      </c>
    </row>
    <row r="866" spans="1:12" ht="20.100000000000001" customHeight="1" x14ac:dyDescent="0.25">
      <c r="A866" s="8">
        <f t="shared" si="13"/>
        <v>863</v>
      </c>
      <c r="B866" s="21" t="s">
        <v>2115</v>
      </c>
      <c r="C866" s="21" t="s">
        <v>2119</v>
      </c>
      <c r="D866" s="22" t="s">
        <v>2120</v>
      </c>
      <c r="E866" s="22" t="s">
        <v>1306</v>
      </c>
      <c r="F866" s="22" t="s">
        <v>46</v>
      </c>
      <c r="G866" s="23">
        <v>23082</v>
      </c>
      <c r="H866" s="22" t="s">
        <v>35</v>
      </c>
      <c r="I866" s="22" t="s">
        <v>26</v>
      </c>
      <c r="J866" s="22" t="s">
        <v>27</v>
      </c>
      <c r="K866" s="10" t="str">
        <f ca="1">DATEDIF('DATA PENDUDUK'!$G866,TODAY(),"Y")&amp; " TAHUN"</f>
        <v>62 TAHUN</v>
      </c>
      <c r="L866" s="24" t="s">
        <v>2114</v>
      </c>
    </row>
    <row r="867" spans="1:12" ht="20.100000000000001" customHeight="1" x14ac:dyDescent="0.25">
      <c r="A867" s="8">
        <f t="shared" si="13"/>
        <v>864</v>
      </c>
      <c r="B867" s="21" t="s">
        <v>2115</v>
      </c>
      <c r="C867" s="21" t="s">
        <v>2121</v>
      </c>
      <c r="D867" s="22" t="s">
        <v>2122</v>
      </c>
      <c r="E867" s="22" t="s">
        <v>671</v>
      </c>
      <c r="F867" s="22" t="s">
        <v>30</v>
      </c>
      <c r="G867" s="23">
        <v>37460</v>
      </c>
      <c r="H867" s="22" t="s">
        <v>35</v>
      </c>
      <c r="I867" s="22" t="s">
        <v>40</v>
      </c>
      <c r="J867" s="22" t="s">
        <v>32</v>
      </c>
      <c r="K867" s="10" t="str">
        <f ca="1">DATEDIF('DATA PENDUDUK'!$G867,TODAY(),"Y")&amp; " TAHUN"</f>
        <v>23 TAHUN</v>
      </c>
      <c r="L867" s="24" t="s">
        <v>2114</v>
      </c>
    </row>
    <row r="868" spans="1:12" ht="20.100000000000001" customHeight="1" x14ac:dyDescent="0.25">
      <c r="A868" s="8">
        <f t="shared" si="13"/>
        <v>865</v>
      </c>
      <c r="B868" s="21" t="s">
        <v>2123</v>
      </c>
      <c r="C868" s="21" t="s">
        <v>2124</v>
      </c>
      <c r="D868" s="22" t="s">
        <v>2125</v>
      </c>
      <c r="E868" s="22" t="s">
        <v>1306</v>
      </c>
      <c r="F868" s="22" t="s">
        <v>518</v>
      </c>
      <c r="G868" s="23">
        <v>28972</v>
      </c>
      <c r="H868" s="22" t="s">
        <v>35</v>
      </c>
      <c r="I868" s="22" t="s">
        <v>26</v>
      </c>
      <c r="J868" s="22" t="s">
        <v>20</v>
      </c>
      <c r="K868" s="10" t="str">
        <f ca="1">DATEDIF('DATA PENDUDUK'!$G868,TODAY(),"Y")&amp; " TAHUN"</f>
        <v>46 TAHUN</v>
      </c>
      <c r="L868" s="24" t="s">
        <v>2114</v>
      </c>
    </row>
    <row r="869" spans="1:12" ht="20.100000000000001" customHeight="1" x14ac:dyDescent="0.25">
      <c r="A869" s="8">
        <f t="shared" si="13"/>
        <v>866</v>
      </c>
      <c r="B869" s="21" t="s">
        <v>2123</v>
      </c>
      <c r="C869" s="21" t="s">
        <v>2126</v>
      </c>
      <c r="D869" s="22" t="s">
        <v>2127</v>
      </c>
      <c r="E869" s="22" t="s">
        <v>671</v>
      </c>
      <c r="F869" s="22" t="s">
        <v>30</v>
      </c>
      <c r="G869" s="23">
        <v>39278</v>
      </c>
      <c r="H869" s="22" t="s">
        <v>35</v>
      </c>
      <c r="I869" s="22" t="s">
        <v>40</v>
      </c>
      <c r="J869" s="22" t="s">
        <v>32</v>
      </c>
      <c r="K869" s="10" t="str">
        <f ca="1">DATEDIF('DATA PENDUDUK'!$G869,TODAY(),"Y")&amp; " TAHUN"</f>
        <v>18 TAHUN</v>
      </c>
      <c r="L869" s="24" t="s">
        <v>2114</v>
      </c>
    </row>
    <row r="870" spans="1:12" ht="20.100000000000001" customHeight="1" x14ac:dyDescent="0.25">
      <c r="A870" s="8">
        <f t="shared" si="13"/>
        <v>867</v>
      </c>
      <c r="B870" s="21" t="s">
        <v>2123</v>
      </c>
      <c r="C870" s="21" t="s">
        <v>2128</v>
      </c>
      <c r="D870" s="22" t="s">
        <v>2129</v>
      </c>
      <c r="E870" s="22" t="s">
        <v>671</v>
      </c>
      <c r="F870" s="22" t="s">
        <v>30</v>
      </c>
      <c r="G870" s="23">
        <v>40463</v>
      </c>
      <c r="H870" s="22" t="s">
        <v>35</v>
      </c>
      <c r="I870" s="22" t="s">
        <v>40</v>
      </c>
      <c r="J870" s="22" t="s">
        <v>32</v>
      </c>
      <c r="K870" s="10" t="str">
        <f ca="1">DATEDIF('DATA PENDUDUK'!$G870,TODAY(),"Y")&amp; " TAHUN"</f>
        <v>14 TAHUN</v>
      </c>
      <c r="L870" s="24" t="s">
        <v>2114</v>
      </c>
    </row>
    <row r="871" spans="1:12" ht="20.100000000000001" customHeight="1" x14ac:dyDescent="0.25">
      <c r="A871" s="8">
        <f t="shared" si="13"/>
        <v>868</v>
      </c>
      <c r="B871" s="21" t="s">
        <v>2123</v>
      </c>
      <c r="C871" s="21" t="s">
        <v>2130</v>
      </c>
      <c r="D871" s="22" t="s">
        <v>2131</v>
      </c>
      <c r="E871" s="22" t="s">
        <v>1306</v>
      </c>
      <c r="F871" s="22" t="s">
        <v>2132</v>
      </c>
      <c r="G871" s="23">
        <v>45321</v>
      </c>
      <c r="H871" s="22" t="s">
        <v>35</v>
      </c>
      <c r="I871" s="22" t="s">
        <v>40</v>
      </c>
      <c r="J871" s="22" t="s">
        <v>32</v>
      </c>
      <c r="K871" s="10" t="str">
        <f ca="1">DATEDIF('DATA PENDUDUK'!$G871,TODAY(),"Y")&amp; " TAHUN"</f>
        <v>1 TAHUN</v>
      </c>
      <c r="L871" s="24" t="s">
        <v>2114</v>
      </c>
    </row>
    <row r="872" spans="1:12" ht="20.100000000000001" customHeight="1" x14ac:dyDescent="0.25">
      <c r="A872" s="8">
        <f t="shared" si="13"/>
        <v>869</v>
      </c>
      <c r="B872" s="21" t="s">
        <v>2123</v>
      </c>
      <c r="C872" s="21" t="s">
        <v>2133</v>
      </c>
      <c r="D872" s="22" t="s">
        <v>2134</v>
      </c>
      <c r="E872" s="22" t="s">
        <v>671</v>
      </c>
      <c r="F872" s="22" t="s">
        <v>353</v>
      </c>
      <c r="G872" s="23">
        <v>31921</v>
      </c>
      <c r="H872" s="22" t="s">
        <v>35</v>
      </c>
      <c r="I872" s="22" t="s">
        <v>19</v>
      </c>
      <c r="J872" s="22" t="s">
        <v>37</v>
      </c>
      <c r="K872" s="10" t="str">
        <f ca="1">DATEDIF('DATA PENDUDUK'!$G872,TODAY(),"Y")&amp; " TAHUN"</f>
        <v>38 TAHUN</v>
      </c>
      <c r="L872" s="24" t="s">
        <v>2114</v>
      </c>
    </row>
    <row r="873" spans="1:12" ht="20.100000000000001" customHeight="1" x14ac:dyDescent="0.25">
      <c r="A873" s="8">
        <f t="shared" si="13"/>
        <v>870</v>
      </c>
      <c r="B873" s="21" t="s">
        <v>2135</v>
      </c>
      <c r="C873" s="21" t="s">
        <v>2136</v>
      </c>
      <c r="D873" s="22" t="s">
        <v>2137</v>
      </c>
      <c r="E873" s="22" t="s">
        <v>671</v>
      </c>
      <c r="F873" s="22" t="s">
        <v>1452</v>
      </c>
      <c r="G873" s="23">
        <v>23254</v>
      </c>
      <c r="H873" s="22" t="s">
        <v>438</v>
      </c>
      <c r="I873" s="22" t="s">
        <v>73</v>
      </c>
      <c r="J873" s="22" t="s">
        <v>20</v>
      </c>
      <c r="K873" s="10" t="str">
        <f ca="1">DATEDIF('DATA PENDUDUK'!$G873,TODAY(),"Y")&amp; " TAHUN"</f>
        <v>61 TAHUN</v>
      </c>
      <c r="L873" s="24" t="s">
        <v>2114</v>
      </c>
    </row>
    <row r="874" spans="1:12" ht="20.100000000000001" customHeight="1" x14ac:dyDescent="0.25">
      <c r="A874" s="8">
        <f t="shared" si="13"/>
        <v>871</v>
      </c>
      <c r="B874" s="21" t="s">
        <v>2135</v>
      </c>
      <c r="C874" s="21" t="s">
        <v>2138</v>
      </c>
      <c r="D874" s="22" t="s">
        <v>2139</v>
      </c>
      <c r="E874" s="22" t="s">
        <v>1306</v>
      </c>
      <c r="F874" s="22" t="s">
        <v>25</v>
      </c>
      <c r="G874" s="23">
        <v>26336</v>
      </c>
      <c r="H874" s="22" t="s">
        <v>35</v>
      </c>
      <c r="I874" s="22" t="s">
        <v>26</v>
      </c>
      <c r="J874" s="22" t="s">
        <v>27</v>
      </c>
      <c r="K874" s="10" t="str">
        <f ca="1">DATEDIF('DATA PENDUDUK'!$G874,TODAY(),"Y")&amp; " TAHUN"</f>
        <v>53 TAHUN</v>
      </c>
      <c r="L874" s="24" t="s">
        <v>2114</v>
      </c>
    </row>
    <row r="875" spans="1:12" ht="20.100000000000001" customHeight="1" x14ac:dyDescent="0.25">
      <c r="A875" s="8">
        <f t="shared" si="13"/>
        <v>872</v>
      </c>
      <c r="B875" s="21" t="s">
        <v>2135</v>
      </c>
      <c r="C875" s="21" t="s">
        <v>2140</v>
      </c>
      <c r="D875" s="22" t="s">
        <v>2141</v>
      </c>
      <c r="E875" s="22" t="s">
        <v>671</v>
      </c>
      <c r="F875" s="22" t="s">
        <v>25</v>
      </c>
      <c r="G875" s="23">
        <v>35362</v>
      </c>
      <c r="H875" s="22" t="s">
        <v>35</v>
      </c>
      <c r="I875" s="22" t="s">
        <v>40</v>
      </c>
      <c r="J875" s="22" t="s">
        <v>32</v>
      </c>
      <c r="K875" s="10" t="str">
        <f ca="1">DATEDIF('DATA PENDUDUK'!$G875,TODAY(),"Y")&amp; " TAHUN"</f>
        <v>28 TAHUN</v>
      </c>
      <c r="L875" s="24" t="s">
        <v>2114</v>
      </c>
    </row>
    <row r="876" spans="1:12" ht="20.100000000000001" customHeight="1" x14ac:dyDescent="0.25">
      <c r="A876" s="8">
        <f t="shared" si="13"/>
        <v>873</v>
      </c>
      <c r="B876" s="21" t="s">
        <v>2135</v>
      </c>
      <c r="C876" s="21" t="s">
        <v>2142</v>
      </c>
      <c r="D876" s="22" t="s">
        <v>2143</v>
      </c>
      <c r="E876" s="22" t="s">
        <v>671</v>
      </c>
      <c r="F876" s="22" t="s">
        <v>25</v>
      </c>
      <c r="G876" s="23">
        <v>36489</v>
      </c>
      <c r="H876" s="22" t="s">
        <v>35</v>
      </c>
      <c r="I876" s="22" t="s">
        <v>40</v>
      </c>
      <c r="J876" s="22" t="s">
        <v>32</v>
      </c>
      <c r="K876" s="10" t="str">
        <f ca="1">DATEDIF('DATA PENDUDUK'!$G876,TODAY(),"Y")&amp; " TAHUN"</f>
        <v>25 TAHUN</v>
      </c>
      <c r="L876" s="24" t="s">
        <v>2114</v>
      </c>
    </row>
    <row r="877" spans="1:12" ht="20.100000000000001" customHeight="1" x14ac:dyDescent="0.25">
      <c r="A877" s="8">
        <f t="shared" si="13"/>
        <v>874</v>
      </c>
      <c r="B877" s="21" t="s">
        <v>2135</v>
      </c>
      <c r="C877" s="21" t="s">
        <v>2144</v>
      </c>
      <c r="D877" s="22" t="s">
        <v>2145</v>
      </c>
      <c r="E877" s="22" t="s">
        <v>1306</v>
      </c>
      <c r="F877" s="22" t="s">
        <v>25</v>
      </c>
      <c r="G877" s="23">
        <v>38435</v>
      </c>
      <c r="H877" s="22" t="s">
        <v>35</v>
      </c>
      <c r="I877" s="22" t="s">
        <v>40</v>
      </c>
      <c r="J877" s="22" t="s">
        <v>32</v>
      </c>
      <c r="K877" s="10" t="str">
        <f ca="1">DATEDIF('DATA PENDUDUK'!$G877,TODAY(),"Y")&amp; " TAHUN"</f>
        <v>20 TAHUN</v>
      </c>
      <c r="L877" s="24" t="s">
        <v>2114</v>
      </c>
    </row>
    <row r="878" spans="1:12" ht="20.100000000000001" customHeight="1" x14ac:dyDescent="0.25">
      <c r="A878" s="8">
        <f t="shared" si="13"/>
        <v>875</v>
      </c>
      <c r="B878" s="21" t="s">
        <v>2146</v>
      </c>
      <c r="C878" s="21" t="s">
        <v>2147</v>
      </c>
      <c r="D878" s="22" t="s">
        <v>2148</v>
      </c>
      <c r="E878" s="22" t="s">
        <v>671</v>
      </c>
      <c r="F878" s="22" t="s">
        <v>64</v>
      </c>
      <c r="G878" s="23">
        <v>24028</v>
      </c>
      <c r="H878" s="22" t="s">
        <v>35</v>
      </c>
      <c r="I878" s="22" t="s">
        <v>36</v>
      </c>
      <c r="J878" s="22" t="s">
        <v>20</v>
      </c>
      <c r="K878" s="10" t="str">
        <f ca="1">DATEDIF('DATA PENDUDUK'!$G878,TODAY(),"Y")&amp; " TAHUN"</f>
        <v>59 TAHUN</v>
      </c>
      <c r="L878" s="24" t="s">
        <v>2114</v>
      </c>
    </row>
    <row r="879" spans="1:12" ht="20.100000000000001" customHeight="1" x14ac:dyDescent="0.25">
      <c r="A879" s="8">
        <f t="shared" si="13"/>
        <v>876</v>
      </c>
      <c r="B879" s="21" t="s">
        <v>2149</v>
      </c>
      <c r="C879" s="21" t="s">
        <v>2150</v>
      </c>
      <c r="D879" s="22" t="s">
        <v>2151</v>
      </c>
      <c r="E879" s="22" t="s">
        <v>671</v>
      </c>
      <c r="F879" s="22" t="s">
        <v>2152</v>
      </c>
      <c r="G879" s="23">
        <v>32618</v>
      </c>
      <c r="H879" s="22" t="s">
        <v>35</v>
      </c>
      <c r="I879" s="22" t="s">
        <v>73</v>
      </c>
      <c r="J879" s="22" t="s">
        <v>20</v>
      </c>
      <c r="K879" s="10" t="str">
        <f ca="1">DATEDIF('DATA PENDUDUK'!$G879,TODAY(),"Y")&amp; " TAHUN"</f>
        <v>36 TAHUN</v>
      </c>
      <c r="L879" s="24" t="s">
        <v>2114</v>
      </c>
    </row>
    <row r="880" spans="1:12" ht="20.100000000000001" customHeight="1" x14ac:dyDescent="0.25">
      <c r="A880" s="8">
        <f t="shared" si="13"/>
        <v>877</v>
      </c>
      <c r="B880" s="21" t="s">
        <v>2149</v>
      </c>
      <c r="C880" s="21" t="s">
        <v>2153</v>
      </c>
      <c r="D880" s="22" t="s">
        <v>2154</v>
      </c>
      <c r="E880" s="22" t="s">
        <v>1306</v>
      </c>
      <c r="F880" s="22" t="s">
        <v>134</v>
      </c>
      <c r="G880" s="23">
        <v>33312</v>
      </c>
      <c r="H880" s="22" t="s">
        <v>35</v>
      </c>
      <c r="I880" s="22" t="s">
        <v>26</v>
      </c>
      <c r="J880" s="22" t="s">
        <v>27</v>
      </c>
      <c r="K880" s="10" t="str">
        <f ca="1">DATEDIF('DATA PENDUDUK'!$G880,TODAY(),"Y")&amp; " TAHUN"</f>
        <v>34 TAHUN</v>
      </c>
      <c r="L880" s="24" t="s">
        <v>2114</v>
      </c>
    </row>
    <row r="881" spans="1:12" ht="20.100000000000001" customHeight="1" x14ac:dyDescent="0.25">
      <c r="A881" s="8">
        <f t="shared" si="13"/>
        <v>878</v>
      </c>
      <c r="B881" s="21" t="s">
        <v>2149</v>
      </c>
      <c r="C881" s="21" t="s">
        <v>2155</v>
      </c>
      <c r="D881" s="22" t="s">
        <v>2156</v>
      </c>
      <c r="E881" s="22" t="s">
        <v>1306</v>
      </c>
      <c r="F881" s="22" t="s">
        <v>30</v>
      </c>
      <c r="G881" s="23">
        <v>43887</v>
      </c>
      <c r="H881" s="22" t="s">
        <v>35</v>
      </c>
      <c r="I881" s="22" t="s">
        <v>40</v>
      </c>
      <c r="J881" s="22" t="s">
        <v>32</v>
      </c>
      <c r="K881" s="10" t="str">
        <f ca="1">DATEDIF('DATA PENDUDUK'!$G881,TODAY(),"Y")&amp; " TAHUN"</f>
        <v>5 TAHUN</v>
      </c>
      <c r="L881" s="24" t="s">
        <v>2114</v>
      </c>
    </row>
    <row r="882" spans="1:12" ht="20.100000000000001" customHeight="1" x14ac:dyDescent="0.25">
      <c r="A882" s="8">
        <f t="shared" si="13"/>
        <v>879</v>
      </c>
      <c r="B882" s="21" t="s">
        <v>2157</v>
      </c>
      <c r="C882" s="21" t="s">
        <v>2158</v>
      </c>
      <c r="D882" s="22" t="s">
        <v>2159</v>
      </c>
      <c r="E882" s="22" t="s">
        <v>671</v>
      </c>
      <c r="F882" s="22" t="s">
        <v>1642</v>
      </c>
      <c r="G882" s="23">
        <v>29144</v>
      </c>
      <c r="H882" s="22" t="s">
        <v>35</v>
      </c>
      <c r="I882" s="22" t="s">
        <v>19</v>
      </c>
      <c r="J882" s="22" t="s">
        <v>20</v>
      </c>
      <c r="K882" s="10" t="str">
        <f ca="1">DATEDIF('DATA PENDUDUK'!$G882,TODAY(),"Y")&amp; " TAHUN"</f>
        <v>45 TAHUN</v>
      </c>
      <c r="L882" s="24" t="s">
        <v>2114</v>
      </c>
    </row>
    <row r="883" spans="1:12" ht="20.100000000000001" customHeight="1" x14ac:dyDescent="0.25">
      <c r="A883" s="8">
        <f t="shared" si="13"/>
        <v>880</v>
      </c>
      <c r="B883" s="21" t="s">
        <v>2157</v>
      </c>
      <c r="C883" s="21" t="s">
        <v>2160</v>
      </c>
      <c r="D883" s="22" t="s">
        <v>322</v>
      </c>
      <c r="E883" s="22" t="s">
        <v>1306</v>
      </c>
      <c r="F883" s="22" t="s">
        <v>2161</v>
      </c>
      <c r="G883" s="23">
        <v>30737</v>
      </c>
      <c r="H883" s="22" t="s">
        <v>35</v>
      </c>
      <c r="I883" s="22" t="s">
        <v>26</v>
      </c>
      <c r="J883" s="22" t="s">
        <v>27</v>
      </c>
      <c r="K883" s="10" t="str">
        <f ca="1">DATEDIF('DATA PENDUDUK'!$G883,TODAY(),"Y")&amp; " TAHUN"</f>
        <v>41 TAHUN</v>
      </c>
      <c r="L883" s="24" t="s">
        <v>2114</v>
      </c>
    </row>
    <row r="884" spans="1:12" ht="20.100000000000001" customHeight="1" x14ac:dyDescent="0.25">
      <c r="A884" s="8">
        <f t="shared" si="13"/>
        <v>881</v>
      </c>
      <c r="B884" s="21" t="s">
        <v>2157</v>
      </c>
      <c r="C884" s="21" t="s">
        <v>2162</v>
      </c>
      <c r="D884" s="22" t="s">
        <v>2163</v>
      </c>
      <c r="E884" s="22" t="s">
        <v>671</v>
      </c>
      <c r="F884" s="22" t="s">
        <v>30</v>
      </c>
      <c r="G884" s="23">
        <v>39732</v>
      </c>
      <c r="H884" s="22" t="s">
        <v>35</v>
      </c>
      <c r="I884" s="22" t="s">
        <v>31</v>
      </c>
      <c r="J884" s="22" t="s">
        <v>32</v>
      </c>
      <c r="K884" s="10" t="str">
        <f ca="1">DATEDIF('DATA PENDUDUK'!$G884,TODAY(),"Y")&amp; " TAHUN"</f>
        <v>16 TAHUN</v>
      </c>
      <c r="L884" s="24" t="s">
        <v>2114</v>
      </c>
    </row>
    <row r="885" spans="1:12" ht="20.100000000000001" customHeight="1" x14ac:dyDescent="0.25">
      <c r="A885" s="8">
        <f t="shared" si="13"/>
        <v>882</v>
      </c>
      <c r="B885" s="21" t="s">
        <v>2157</v>
      </c>
      <c r="C885" s="21" t="s">
        <v>2164</v>
      </c>
      <c r="D885" s="22" t="s">
        <v>2165</v>
      </c>
      <c r="E885" s="22" t="s">
        <v>671</v>
      </c>
      <c r="F885" s="22" t="s">
        <v>30</v>
      </c>
      <c r="G885" s="23">
        <v>40098</v>
      </c>
      <c r="H885" s="22" t="s">
        <v>35</v>
      </c>
      <c r="I885" s="22" t="s">
        <v>31</v>
      </c>
      <c r="J885" s="22" t="s">
        <v>32</v>
      </c>
      <c r="K885" s="10" t="str">
        <f ca="1">DATEDIF('DATA PENDUDUK'!$G885,TODAY(),"Y")&amp; " TAHUN"</f>
        <v>15 TAHUN</v>
      </c>
      <c r="L885" s="24" t="s">
        <v>2114</v>
      </c>
    </row>
    <row r="886" spans="1:12" ht="20.100000000000001" customHeight="1" x14ac:dyDescent="0.25">
      <c r="A886" s="8">
        <f t="shared" si="13"/>
        <v>883</v>
      </c>
      <c r="B886" s="21" t="s">
        <v>2157</v>
      </c>
      <c r="C886" s="21" t="s">
        <v>2166</v>
      </c>
      <c r="D886" s="22" t="s">
        <v>2167</v>
      </c>
      <c r="E886" s="22" t="s">
        <v>1306</v>
      </c>
      <c r="F886" s="22" t="s">
        <v>30</v>
      </c>
      <c r="G886" s="23">
        <v>43261</v>
      </c>
      <c r="H886" s="22" t="s">
        <v>35</v>
      </c>
      <c r="I886" s="22" t="s">
        <v>40</v>
      </c>
      <c r="J886" s="22" t="s">
        <v>32</v>
      </c>
      <c r="K886" s="10" t="str">
        <f ca="1">DATEDIF('DATA PENDUDUK'!$G886,TODAY(),"Y")&amp; " TAHUN"</f>
        <v>7 TAHUN</v>
      </c>
      <c r="L886" s="24" t="s">
        <v>2114</v>
      </c>
    </row>
    <row r="887" spans="1:12" ht="20.100000000000001" customHeight="1" x14ac:dyDescent="0.25">
      <c r="A887" s="8">
        <f t="shared" si="13"/>
        <v>884</v>
      </c>
      <c r="B887" s="21" t="s">
        <v>2157</v>
      </c>
      <c r="C887" s="21" t="s">
        <v>2168</v>
      </c>
      <c r="D887" s="22" t="s">
        <v>2169</v>
      </c>
      <c r="E887" s="22" t="s">
        <v>671</v>
      </c>
      <c r="F887" s="22" t="s">
        <v>2170</v>
      </c>
      <c r="G887" s="23">
        <v>36493</v>
      </c>
      <c r="H887" s="22" t="s">
        <v>35</v>
      </c>
      <c r="I887" s="22" t="s">
        <v>40</v>
      </c>
      <c r="J887" s="22" t="s">
        <v>37</v>
      </c>
      <c r="K887" s="10" t="str">
        <f ca="1">DATEDIF('DATA PENDUDUK'!$G887,TODAY(),"Y")&amp; " TAHUN"</f>
        <v>25 TAHUN</v>
      </c>
      <c r="L887" s="24" t="s">
        <v>2114</v>
      </c>
    </row>
    <row r="888" spans="1:12" ht="20.100000000000001" customHeight="1" x14ac:dyDescent="0.25">
      <c r="A888" s="8">
        <f t="shared" si="13"/>
        <v>885</v>
      </c>
      <c r="B888" s="21" t="s">
        <v>2171</v>
      </c>
      <c r="C888" s="21" t="s">
        <v>2172</v>
      </c>
      <c r="D888" s="22" t="s">
        <v>2173</v>
      </c>
      <c r="E888" s="22" t="s">
        <v>671</v>
      </c>
      <c r="F888" s="22" t="s">
        <v>79</v>
      </c>
      <c r="G888" s="23">
        <v>29315</v>
      </c>
      <c r="H888" s="22" t="s">
        <v>35</v>
      </c>
      <c r="I888" s="22" t="s">
        <v>542</v>
      </c>
      <c r="J888" s="22" t="s">
        <v>20</v>
      </c>
      <c r="K888" s="10" t="str">
        <f ca="1">DATEDIF('DATA PENDUDUK'!$G888,TODAY(),"Y")&amp; " TAHUN"</f>
        <v>45 TAHUN</v>
      </c>
      <c r="L888" s="24" t="s">
        <v>2114</v>
      </c>
    </row>
    <row r="889" spans="1:12" ht="20.100000000000001" customHeight="1" x14ac:dyDescent="0.25">
      <c r="A889" s="8">
        <f t="shared" si="13"/>
        <v>886</v>
      </c>
      <c r="B889" s="21" t="s">
        <v>2171</v>
      </c>
      <c r="C889" s="21" t="s">
        <v>2174</v>
      </c>
      <c r="D889" s="22" t="s">
        <v>2175</v>
      </c>
      <c r="E889" s="22" t="s">
        <v>1306</v>
      </c>
      <c r="F889" s="22" t="s">
        <v>2176</v>
      </c>
      <c r="G889" s="23">
        <v>29515</v>
      </c>
      <c r="H889" s="22" t="s">
        <v>35</v>
      </c>
      <c r="I889" s="22" t="s">
        <v>26</v>
      </c>
      <c r="J889" s="22" t="s">
        <v>27</v>
      </c>
      <c r="K889" s="10" t="str">
        <f ca="1">DATEDIF('DATA PENDUDUK'!$G889,TODAY(),"Y")&amp; " TAHUN"</f>
        <v>44 TAHUN</v>
      </c>
      <c r="L889" s="24" t="s">
        <v>2114</v>
      </c>
    </row>
    <row r="890" spans="1:12" ht="20.100000000000001" customHeight="1" x14ac:dyDescent="0.25">
      <c r="A890" s="8">
        <f t="shared" si="13"/>
        <v>887</v>
      </c>
      <c r="B890" s="21" t="s">
        <v>2171</v>
      </c>
      <c r="C890" s="21" t="s">
        <v>2177</v>
      </c>
      <c r="D890" s="22" t="s">
        <v>2178</v>
      </c>
      <c r="E890" s="22" t="s">
        <v>671</v>
      </c>
      <c r="F890" s="22" t="s">
        <v>30</v>
      </c>
      <c r="G890" s="23">
        <v>37544</v>
      </c>
      <c r="H890" s="22" t="s">
        <v>35</v>
      </c>
      <c r="I890" s="22" t="s">
        <v>40</v>
      </c>
      <c r="J890" s="22" t="s">
        <v>32</v>
      </c>
      <c r="K890" s="10" t="str">
        <f ca="1">DATEDIF('DATA PENDUDUK'!$G890,TODAY(),"Y")&amp; " TAHUN"</f>
        <v>22 TAHUN</v>
      </c>
      <c r="L890" s="24" t="s">
        <v>2114</v>
      </c>
    </row>
    <row r="891" spans="1:12" ht="20.100000000000001" customHeight="1" x14ac:dyDescent="0.25">
      <c r="A891" s="8">
        <f t="shared" si="13"/>
        <v>888</v>
      </c>
      <c r="B891" s="21" t="s">
        <v>2171</v>
      </c>
      <c r="C891" s="21" t="s">
        <v>2179</v>
      </c>
      <c r="D891" s="22" t="s">
        <v>2180</v>
      </c>
      <c r="E891" s="22" t="s">
        <v>1306</v>
      </c>
      <c r="F891" s="22" t="s">
        <v>30</v>
      </c>
      <c r="G891" s="23">
        <v>39442</v>
      </c>
      <c r="H891" s="22" t="s">
        <v>35</v>
      </c>
      <c r="I891" s="22" t="s">
        <v>31</v>
      </c>
      <c r="J891" s="22" t="s">
        <v>32</v>
      </c>
      <c r="K891" s="10" t="str">
        <f ca="1">DATEDIF('DATA PENDUDUK'!$G891,TODAY(),"Y")&amp; " TAHUN"</f>
        <v>17 TAHUN</v>
      </c>
      <c r="L891" s="24" t="s">
        <v>2114</v>
      </c>
    </row>
    <row r="892" spans="1:12" ht="20.100000000000001" customHeight="1" x14ac:dyDescent="0.25">
      <c r="A892" s="8">
        <f t="shared" si="13"/>
        <v>889</v>
      </c>
      <c r="B892" s="21" t="s">
        <v>2181</v>
      </c>
      <c r="C892" s="21" t="s">
        <v>2182</v>
      </c>
      <c r="D892" s="22" t="s">
        <v>2183</v>
      </c>
      <c r="E892" s="22" t="s">
        <v>671</v>
      </c>
      <c r="F892" s="22" t="s">
        <v>143</v>
      </c>
      <c r="G892" s="23">
        <v>28291</v>
      </c>
      <c r="H892" s="22" t="s">
        <v>35</v>
      </c>
      <c r="I892" s="22" t="s">
        <v>19</v>
      </c>
      <c r="J892" s="22" t="s">
        <v>20</v>
      </c>
      <c r="K892" s="10" t="str">
        <f ca="1">DATEDIF('DATA PENDUDUK'!$G892,TODAY(),"Y")&amp; " TAHUN"</f>
        <v>48 TAHUN</v>
      </c>
      <c r="L892" s="24" t="s">
        <v>2114</v>
      </c>
    </row>
    <row r="893" spans="1:12" ht="20.100000000000001" customHeight="1" x14ac:dyDescent="0.25">
      <c r="A893" s="8">
        <f t="shared" si="13"/>
        <v>890</v>
      </c>
      <c r="B893" s="21" t="s">
        <v>2181</v>
      </c>
      <c r="C893" s="21" t="s">
        <v>2184</v>
      </c>
      <c r="D893" s="22" t="s">
        <v>2185</v>
      </c>
      <c r="E893" s="22" t="s">
        <v>1306</v>
      </c>
      <c r="F893" s="22" t="s">
        <v>143</v>
      </c>
      <c r="G893" s="23">
        <v>29839</v>
      </c>
      <c r="H893" s="22" t="s">
        <v>35</v>
      </c>
      <c r="I893" s="22" t="s">
        <v>19</v>
      </c>
      <c r="J893" s="22" t="s">
        <v>27</v>
      </c>
      <c r="K893" s="10" t="str">
        <f ca="1">DATEDIF('DATA PENDUDUK'!$G893,TODAY(),"Y")&amp; " TAHUN"</f>
        <v>43 TAHUN</v>
      </c>
      <c r="L893" s="24" t="s">
        <v>2114</v>
      </c>
    </row>
    <row r="894" spans="1:12" ht="20.100000000000001" customHeight="1" x14ac:dyDescent="0.25">
      <c r="A894" s="8">
        <f t="shared" si="13"/>
        <v>891</v>
      </c>
      <c r="B894" s="21" t="s">
        <v>2181</v>
      </c>
      <c r="C894" s="21" t="s">
        <v>2186</v>
      </c>
      <c r="D894" s="22" t="s">
        <v>2187</v>
      </c>
      <c r="E894" s="22" t="s">
        <v>1306</v>
      </c>
      <c r="F894" s="22" t="s">
        <v>30</v>
      </c>
      <c r="G894" s="23">
        <v>38867</v>
      </c>
      <c r="H894" s="22" t="s">
        <v>35</v>
      </c>
      <c r="I894" s="22" t="s">
        <v>31</v>
      </c>
      <c r="J894" s="22" t="s">
        <v>32</v>
      </c>
      <c r="K894" s="10" t="str">
        <f ca="1">DATEDIF('DATA PENDUDUK'!$G894,TODAY(),"Y")&amp; " TAHUN"</f>
        <v>19 TAHUN</v>
      </c>
      <c r="L894" s="24" t="s">
        <v>2114</v>
      </c>
    </row>
    <row r="895" spans="1:12" ht="20.100000000000001" customHeight="1" x14ac:dyDescent="0.25">
      <c r="A895" s="8">
        <f t="shared" si="13"/>
        <v>892</v>
      </c>
      <c r="B895" s="21" t="s">
        <v>2181</v>
      </c>
      <c r="C895" s="21" t="s">
        <v>2188</v>
      </c>
      <c r="D895" s="22" t="s">
        <v>2189</v>
      </c>
      <c r="E895" s="22" t="s">
        <v>1306</v>
      </c>
      <c r="F895" s="22" t="s">
        <v>30</v>
      </c>
      <c r="G895" s="23">
        <v>40406</v>
      </c>
      <c r="H895" s="22" t="s">
        <v>35</v>
      </c>
      <c r="I895" s="22" t="s">
        <v>31</v>
      </c>
      <c r="J895" s="22" t="s">
        <v>32</v>
      </c>
      <c r="K895" s="10" t="str">
        <f ca="1">DATEDIF('DATA PENDUDUK'!$G895,TODAY(),"Y")&amp; " TAHUN"</f>
        <v>14 TAHUN</v>
      </c>
      <c r="L895" s="24" t="s">
        <v>2114</v>
      </c>
    </row>
    <row r="896" spans="1:12" ht="20.100000000000001" customHeight="1" x14ac:dyDescent="0.25">
      <c r="A896" s="8">
        <f t="shared" si="13"/>
        <v>893</v>
      </c>
      <c r="B896" s="21" t="s">
        <v>2181</v>
      </c>
      <c r="C896" s="21" t="s">
        <v>2190</v>
      </c>
      <c r="D896" s="22" t="s">
        <v>2191</v>
      </c>
      <c r="E896" s="22" t="s">
        <v>1306</v>
      </c>
      <c r="F896" s="22" t="s">
        <v>30</v>
      </c>
      <c r="G896" s="23">
        <v>41007</v>
      </c>
      <c r="H896" s="22" t="s">
        <v>35</v>
      </c>
      <c r="I896" s="22" t="s">
        <v>31</v>
      </c>
      <c r="J896" s="22" t="s">
        <v>32</v>
      </c>
      <c r="K896" s="10" t="str">
        <f ca="1">DATEDIF('DATA PENDUDUK'!$G896,TODAY(),"Y")&amp; " TAHUN"</f>
        <v>13 TAHUN</v>
      </c>
      <c r="L896" s="24" t="s">
        <v>2114</v>
      </c>
    </row>
    <row r="897" spans="1:12" ht="20.100000000000001" customHeight="1" x14ac:dyDescent="0.25">
      <c r="A897" s="8">
        <f t="shared" si="13"/>
        <v>894</v>
      </c>
      <c r="B897" s="21" t="s">
        <v>2192</v>
      </c>
      <c r="C897" s="21" t="s">
        <v>2193</v>
      </c>
      <c r="D897" s="22" t="s">
        <v>2194</v>
      </c>
      <c r="E897" s="22" t="s">
        <v>671</v>
      </c>
      <c r="F897" s="22" t="s">
        <v>546</v>
      </c>
      <c r="G897" s="23">
        <v>31853</v>
      </c>
      <c r="H897" s="22" t="s">
        <v>35</v>
      </c>
      <c r="I897" s="22" t="s">
        <v>19</v>
      </c>
      <c r="J897" s="22" t="s">
        <v>20</v>
      </c>
      <c r="K897" s="10" t="str">
        <f ca="1">DATEDIF('DATA PENDUDUK'!$G897,TODAY(),"Y")&amp; " TAHUN"</f>
        <v>38 TAHUN</v>
      </c>
      <c r="L897" s="24" t="s">
        <v>2114</v>
      </c>
    </row>
    <row r="898" spans="1:12" ht="20.100000000000001" customHeight="1" x14ac:dyDescent="0.25">
      <c r="A898" s="8">
        <f t="shared" si="13"/>
        <v>895</v>
      </c>
      <c r="B898" s="21" t="s">
        <v>2192</v>
      </c>
      <c r="C898" s="21" t="s">
        <v>2195</v>
      </c>
      <c r="D898" s="22" t="s">
        <v>2196</v>
      </c>
      <c r="E898" s="22" t="s">
        <v>1306</v>
      </c>
      <c r="F898" s="22" t="s">
        <v>546</v>
      </c>
      <c r="G898" s="23">
        <v>35597</v>
      </c>
      <c r="H898" s="22" t="s">
        <v>35</v>
      </c>
      <c r="I898" s="22" t="s">
        <v>26</v>
      </c>
      <c r="J898" s="22" t="s">
        <v>27</v>
      </c>
      <c r="K898" s="10" t="str">
        <f ca="1">DATEDIF('DATA PENDUDUK'!$G898,TODAY(),"Y")&amp; " TAHUN"</f>
        <v>28 TAHUN</v>
      </c>
      <c r="L898" s="24" t="s">
        <v>2114</v>
      </c>
    </row>
    <row r="899" spans="1:12" ht="20.100000000000001" customHeight="1" x14ac:dyDescent="0.25">
      <c r="A899" s="8">
        <f t="shared" si="13"/>
        <v>896</v>
      </c>
      <c r="B899" s="21" t="s">
        <v>2192</v>
      </c>
      <c r="C899" s="21" t="s">
        <v>2197</v>
      </c>
      <c r="D899" s="22" t="s">
        <v>2198</v>
      </c>
      <c r="E899" s="22" t="s">
        <v>1306</v>
      </c>
      <c r="F899" s="22" t="s">
        <v>143</v>
      </c>
      <c r="G899" s="23">
        <v>43436</v>
      </c>
      <c r="H899" s="22" t="s">
        <v>35</v>
      </c>
      <c r="I899" s="22" t="s">
        <v>40</v>
      </c>
      <c r="J899" s="22" t="s">
        <v>32</v>
      </c>
      <c r="K899" s="10" t="str">
        <f ca="1">DATEDIF('DATA PENDUDUK'!$G899,TODAY(),"Y")&amp; " TAHUN"</f>
        <v>6 TAHUN</v>
      </c>
      <c r="L899" s="24" t="s">
        <v>2114</v>
      </c>
    </row>
    <row r="900" spans="1:12" ht="20.100000000000001" customHeight="1" x14ac:dyDescent="0.25">
      <c r="A900" s="8">
        <f t="shared" si="13"/>
        <v>897</v>
      </c>
      <c r="B900" s="21" t="s">
        <v>2192</v>
      </c>
      <c r="C900" s="21" t="s">
        <v>2199</v>
      </c>
      <c r="D900" s="22" t="s">
        <v>2200</v>
      </c>
      <c r="E900" s="22" t="s">
        <v>671</v>
      </c>
      <c r="F900" s="22" t="s">
        <v>30</v>
      </c>
      <c r="G900" s="23">
        <v>43976</v>
      </c>
      <c r="H900" s="22" t="s">
        <v>35</v>
      </c>
      <c r="I900" s="22" t="s">
        <v>40</v>
      </c>
      <c r="J900" s="22" t="s">
        <v>32</v>
      </c>
      <c r="K900" s="10" t="str">
        <f ca="1">DATEDIF('DATA PENDUDUK'!$G900,TODAY(),"Y")&amp; " TAHUN"</f>
        <v>5 TAHUN</v>
      </c>
      <c r="L900" s="24" t="s">
        <v>2114</v>
      </c>
    </row>
    <row r="901" spans="1:12" ht="20.100000000000001" customHeight="1" x14ac:dyDescent="0.25">
      <c r="A901" s="8">
        <f t="shared" si="13"/>
        <v>898</v>
      </c>
      <c r="B901" s="21" t="s">
        <v>2201</v>
      </c>
      <c r="C901" s="21" t="s">
        <v>2202</v>
      </c>
      <c r="D901" s="22" t="s">
        <v>2203</v>
      </c>
      <c r="E901" s="22" t="s">
        <v>671</v>
      </c>
      <c r="F901" s="22" t="s">
        <v>2204</v>
      </c>
      <c r="G901" s="23">
        <v>22786</v>
      </c>
      <c r="H901" s="22" t="s">
        <v>35</v>
      </c>
      <c r="I901" s="22" t="s">
        <v>150</v>
      </c>
      <c r="J901" s="22" t="s">
        <v>20</v>
      </c>
      <c r="K901" s="10" t="str">
        <f ca="1">DATEDIF('DATA PENDUDUK'!$G901,TODAY(),"Y")&amp; " TAHUN"</f>
        <v>63 TAHUN</v>
      </c>
      <c r="L901" s="24" t="s">
        <v>2114</v>
      </c>
    </row>
    <row r="902" spans="1:12" ht="20.100000000000001" customHeight="1" x14ac:dyDescent="0.25">
      <c r="A902" s="8">
        <f t="shared" ref="A902:A965" si="14">IF(D902="","",ROW()-3)</f>
        <v>899</v>
      </c>
      <c r="B902" s="21" t="s">
        <v>2201</v>
      </c>
      <c r="C902" s="21" t="s">
        <v>2205</v>
      </c>
      <c r="D902" s="22" t="s">
        <v>2206</v>
      </c>
      <c r="E902" s="22" t="s">
        <v>1306</v>
      </c>
      <c r="F902" s="22" t="s">
        <v>195</v>
      </c>
      <c r="G902" s="23">
        <v>26880</v>
      </c>
      <c r="H902" s="22" t="s">
        <v>35</v>
      </c>
      <c r="I902" s="22" t="s">
        <v>26</v>
      </c>
      <c r="J902" s="22" t="s">
        <v>27</v>
      </c>
      <c r="K902" s="10" t="str">
        <f ca="1">DATEDIF('DATA PENDUDUK'!$G902,TODAY(),"Y")&amp; " TAHUN"</f>
        <v>51 TAHUN</v>
      </c>
      <c r="L902" s="24" t="s">
        <v>2114</v>
      </c>
    </row>
    <row r="903" spans="1:12" ht="20.100000000000001" customHeight="1" x14ac:dyDescent="0.25">
      <c r="A903" s="8">
        <f t="shared" si="14"/>
        <v>900</v>
      </c>
      <c r="B903" s="21" t="s">
        <v>2201</v>
      </c>
      <c r="C903" s="21" t="s">
        <v>2207</v>
      </c>
      <c r="D903" s="22" t="s">
        <v>2208</v>
      </c>
      <c r="E903" s="22" t="s">
        <v>671</v>
      </c>
      <c r="F903" s="22" t="s">
        <v>30</v>
      </c>
      <c r="G903" s="23">
        <v>39144</v>
      </c>
      <c r="H903" s="22" t="s">
        <v>35</v>
      </c>
      <c r="I903" s="22" t="s">
        <v>31</v>
      </c>
      <c r="J903" s="22" t="s">
        <v>32</v>
      </c>
      <c r="K903" s="10" t="str">
        <f ca="1">DATEDIF('DATA PENDUDUK'!$G903,TODAY(),"Y")&amp; " TAHUN"</f>
        <v>18 TAHUN</v>
      </c>
      <c r="L903" s="24" t="s">
        <v>2114</v>
      </c>
    </row>
    <row r="904" spans="1:12" ht="20.100000000000001" customHeight="1" x14ac:dyDescent="0.25">
      <c r="A904" s="8">
        <f t="shared" si="14"/>
        <v>901</v>
      </c>
      <c r="B904" s="21" t="s">
        <v>2201</v>
      </c>
      <c r="C904" s="21" t="s">
        <v>2209</v>
      </c>
      <c r="D904" s="25" t="s">
        <v>2210</v>
      </c>
      <c r="E904" s="22" t="s">
        <v>671</v>
      </c>
      <c r="F904" s="22" t="s">
        <v>30</v>
      </c>
      <c r="G904" s="23">
        <v>41785</v>
      </c>
      <c r="H904" s="22" t="s">
        <v>35</v>
      </c>
      <c r="I904" s="22" t="s">
        <v>31</v>
      </c>
      <c r="J904" s="22" t="s">
        <v>32</v>
      </c>
      <c r="K904" s="10" t="str">
        <f ca="1">DATEDIF('DATA PENDUDUK'!$G904,TODAY(),"Y")&amp; " TAHUN"</f>
        <v>11 TAHUN</v>
      </c>
      <c r="L904" s="24" t="s">
        <v>2114</v>
      </c>
    </row>
    <row r="905" spans="1:12" ht="20.100000000000001" customHeight="1" x14ac:dyDescent="0.25">
      <c r="A905" s="8">
        <f t="shared" si="14"/>
        <v>902</v>
      </c>
      <c r="B905" s="21" t="s">
        <v>2211</v>
      </c>
      <c r="C905" s="21" t="s">
        <v>2212</v>
      </c>
      <c r="D905" s="22" t="s">
        <v>2213</v>
      </c>
      <c r="E905" s="22" t="s">
        <v>671</v>
      </c>
      <c r="F905" s="22" t="s">
        <v>143</v>
      </c>
      <c r="G905" s="23">
        <v>29053</v>
      </c>
      <c r="H905" s="22" t="s">
        <v>35</v>
      </c>
      <c r="I905" s="22" t="s">
        <v>19</v>
      </c>
      <c r="J905" s="22" t="s">
        <v>20</v>
      </c>
      <c r="K905" s="10" t="str">
        <f ca="1">DATEDIF('DATA PENDUDUK'!$G905,TODAY(),"Y")&amp; " TAHUN"</f>
        <v>46 TAHUN</v>
      </c>
      <c r="L905" s="24" t="s">
        <v>2114</v>
      </c>
    </row>
    <row r="906" spans="1:12" ht="20.100000000000001" customHeight="1" x14ac:dyDescent="0.25">
      <c r="A906" s="8">
        <f t="shared" si="14"/>
        <v>903</v>
      </c>
      <c r="B906" s="21" t="s">
        <v>2211</v>
      </c>
      <c r="C906" s="21" t="s">
        <v>2214</v>
      </c>
      <c r="D906" s="22" t="s">
        <v>2215</v>
      </c>
      <c r="E906" s="22" t="s">
        <v>1306</v>
      </c>
      <c r="F906" s="22" t="s">
        <v>2216</v>
      </c>
      <c r="G906" s="23">
        <v>34348</v>
      </c>
      <c r="H906" s="22" t="s">
        <v>35</v>
      </c>
      <c r="I906" s="22" t="s">
        <v>26</v>
      </c>
      <c r="J906" s="22" t="s">
        <v>27</v>
      </c>
      <c r="K906" s="10" t="str">
        <f ca="1">DATEDIF('DATA PENDUDUK'!$G906,TODAY(),"Y")&amp; " TAHUN"</f>
        <v>31 TAHUN</v>
      </c>
      <c r="L906" s="24" t="s">
        <v>2114</v>
      </c>
    </row>
    <row r="907" spans="1:12" ht="20.100000000000001" customHeight="1" x14ac:dyDescent="0.25">
      <c r="A907" s="8">
        <f t="shared" si="14"/>
        <v>904</v>
      </c>
      <c r="B907" s="21" t="s">
        <v>2211</v>
      </c>
      <c r="C907" s="21" t="s">
        <v>2217</v>
      </c>
      <c r="D907" s="22" t="s">
        <v>2218</v>
      </c>
      <c r="E907" s="22" t="s">
        <v>1306</v>
      </c>
      <c r="F907" s="22" t="s">
        <v>2219</v>
      </c>
      <c r="G907" s="23">
        <v>41423</v>
      </c>
      <c r="H907" s="22" t="s">
        <v>35</v>
      </c>
      <c r="I907" s="22" t="s">
        <v>31</v>
      </c>
      <c r="J907" s="22" t="s">
        <v>32</v>
      </c>
      <c r="K907" s="10" t="str">
        <f ca="1">DATEDIF('DATA PENDUDUK'!$G907,TODAY(),"Y")&amp; " TAHUN"</f>
        <v>12 TAHUN</v>
      </c>
      <c r="L907" s="24" t="s">
        <v>2114</v>
      </c>
    </row>
    <row r="908" spans="1:12" ht="20.100000000000001" customHeight="1" x14ac:dyDescent="0.25">
      <c r="A908" s="8">
        <f t="shared" si="14"/>
        <v>905</v>
      </c>
      <c r="B908" s="21" t="s">
        <v>2211</v>
      </c>
      <c r="C908" s="21" t="s">
        <v>2220</v>
      </c>
      <c r="D908" s="22" t="s">
        <v>2221</v>
      </c>
      <c r="E908" s="22" t="s">
        <v>1306</v>
      </c>
      <c r="F908" s="22" t="s">
        <v>30</v>
      </c>
      <c r="G908" s="23">
        <v>42651</v>
      </c>
      <c r="H908" s="22" t="s">
        <v>35</v>
      </c>
      <c r="I908" s="22" t="s">
        <v>31</v>
      </c>
      <c r="J908" s="22" t="s">
        <v>32</v>
      </c>
      <c r="K908" s="10" t="str">
        <f ca="1">DATEDIF('DATA PENDUDUK'!$G908,TODAY(),"Y")&amp; " TAHUN"</f>
        <v>8 TAHUN</v>
      </c>
      <c r="L908" s="24" t="s">
        <v>2114</v>
      </c>
    </row>
    <row r="909" spans="1:12" ht="20.100000000000001" customHeight="1" x14ac:dyDescent="0.25">
      <c r="A909" s="8">
        <f t="shared" si="14"/>
        <v>906</v>
      </c>
      <c r="B909" s="21" t="s">
        <v>2211</v>
      </c>
      <c r="C909" s="21" t="s">
        <v>2222</v>
      </c>
      <c r="D909" s="22" t="s">
        <v>2223</v>
      </c>
      <c r="E909" s="22" t="s">
        <v>1306</v>
      </c>
      <c r="F909" s="22" t="s">
        <v>30</v>
      </c>
      <c r="G909" s="23">
        <v>43960</v>
      </c>
      <c r="H909" s="22" t="s">
        <v>35</v>
      </c>
      <c r="I909" s="22" t="s">
        <v>40</v>
      </c>
      <c r="J909" s="22" t="s">
        <v>32</v>
      </c>
      <c r="K909" s="10" t="str">
        <f ca="1">DATEDIF('DATA PENDUDUK'!$G909,TODAY(),"Y")&amp; " TAHUN"</f>
        <v>5 TAHUN</v>
      </c>
      <c r="L909" s="24" t="s">
        <v>2114</v>
      </c>
    </row>
    <row r="910" spans="1:12" ht="20.100000000000001" customHeight="1" x14ac:dyDescent="0.25">
      <c r="A910" s="8">
        <f t="shared" si="14"/>
        <v>907</v>
      </c>
      <c r="B910" s="21" t="s">
        <v>2224</v>
      </c>
      <c r="C910" s="21" t="s">
        <v>2225</v>
      </c>
      <c r="D910" s="22" t="s">
        <v>2226</v>
      </c>
      <c r="E910" s="22" t="s">
        <v>671</v>
      </c>
      <c r="F910" s="22" t="s">
        <v>25</v>
      </c>
      <c r="G910" s="23">
        <v>29432</v>
      </c>
      <c r="H910" s="22" t="s">
        <v>35</v>
      </c>
      <c r="I910" s="22" t="s">
        <v>19</v>
      </c>
      <c r="J910" s="22" t="s">
        <v>20</v>
      </c>
      <c r="K910" s="10" t="str">
        <f ca="1">DATEDIF('DATA PENDUDUK'!$G910,TODAY(),"Y")&amp; " TAHUN"</f>
        <v>44 TAHUN</v>
      </c>
      <c r="L910" s="24" t="s">
        <v>2114</v>
      </c>
    </row>
    <row r="911" spans="1:12" ht="20.100000000000001" customHeight="1" x14ac:dyDescent="0.25">
      <c r="A911" s="8">
        <f t="shared" si="14"/>
        <v>908</v>
      </c>
      <c r="B911" s="21" t="s">
        <v>2224</v>
      </c>
      <c r="C911" s="21" t="s">
        <v>2227</v>
      </c>
      <c r="D911" s="22" t="s">
        <v>2228</v>
      </c>
      <c r="E911" s="22" t="s">
        <v>1306</v>
      </c>
      <c r="F911" s="22" t="s">
        <v>268</v>
      </c>
      <c r="G911" s="23">
        <v>33227</v>
      </c>
      <c r="H911" s="22" t="s">
        <v>35</v>
      </c>
      <c r="I911" s="22" t="s">
        <v>73</v>
      </c>
      <c r="J911" s="22" t="s">
        <v>27</v>
      </c>
      <c r="K911" s="10" t="str">
        <f ca="1">DATEDIF('DATA PENDUDUK'!$G911,TODAY(),"Y")&amp; " TAHUN"</f>
        <v>34 TAHUN</v>
      </c>
      <c r="L911" s="24" t="s">
        <v>2114</v>
      </c>
    </row>
    <row r="912" spans="1:12" ht="20.100000000000001" customHeight="1" x14ac:dyDescent="0.25">
      <c r="A912" s="8">
        <f t="shared" si="14"/>
        <v>909</v>
      </c>
      <c r="B912" s="21" t="s">
        <v>2224</v>
      </c>
      <c r="C912" s="21" t="s">
        <v>2229</v>
      </c>
      <c r="D912" s="22" t="s">
        <v>2230</v>
      </c>
      <c r="E912" s="22" t="s">
        <v>671</v>
      </c>
      <c r="F912" s="22" t="s">
        <v>30</v>
      </c>
      <c r="G912" s="23">
        <v>44136</v>
      </c>
      <c r="H912" s="22" t="s">
        <v>35</v>
      </c>
      <c r="I912" s="22" t="s">
        <v>40</v>
      </c>
      <c r="J912" s="22" t="s">
        <v>32</v>
      </c>
      <c r="K912" s="10" t="str">
        <f ca="1">DATEDIF('DATA PENDUDUK'!$G912,TODAY(),"Y")&amp; " TAHUN"</f>
        <v>4 TAHUN</v>
      </c>
      <c r="L912" s="24" t="s">
        <v>2114</v>
      </c>
    </row>
    <row r="913" spans="1:12" ht="20.100000000000001" customHeight="1" x14ac:dyDescent="0.25">
      <c r="A913" s="8">
        <f t="shared" si="14"/>
        <v>910</v>
      </c>
      <c r="B913" s="21" t="s">
        <v>2231</v>
      </c>
      <c r="C913" s="21" t="s">
        <v>2232</v>
      </c>
      <c r="D913" s="22" t="s">
        <v>2233</v>
      </c>
      <c r="E913" s="22" t="s">
        <v>671</v>
      </c>
      <c r="F913" s="22" t="s">
        <v>262</v>
      </c>
      <c r="G913" s="23">
        <v>30276</v>
      </c>
      <c r="H913" s="22" t="s">
        <v>35</v>
      </c>
      <c r="I913" s="22" t="s">
        <v>19</v>
      </c>
      <c r="J913" s="22" t="s">
        <v>20</v>
      </c>
      <c r="K913" s="10" t="str">
        <f ca="1">DATEDIF('DATA PENDUDUK'!$G913,TODAY(),"Y")&amp; " TAHUN"</f>
        <v>42 TAHUN</v>
      </c>
      <c r="L913" s="24" t="s">
        <v>2114</v>
      </c>
    </row>
    <row r="914" spans="1:12" ht="20.100000000000001" customHeight="1" x14ac:dyDescent="0.25">
      <c r="A914" s="8">
        <f t="shared" si="14"/>
        <v>911</v>
      </c>
      <c r="B914" s="21" t="s">
        <v>2231</v>
      </c>
      <c r="C914" s="21" t="s">
        <v>2234</v>
      </c>
      <c r="D914" s="22" t="s">
        <v>2235</v>
      </c>
      <c r="E914" s="22" t="s">
        <v>1306</v>
      </c>
      <c r="F914" s="22" t="s">
        <v>61</v>
      </c>
      <c r="G914" s="23">
        <v>29721</v>
      </c>
      <c r="H914" s="22" t="s">
        <v>35</v>
      </c>
      <c r="I914" s="22" t="s">
        <v>26</v>
      </c>
      <c r="J914" s="22" t="s">
        <v>27</v>
      </c>
      <c r="K914" s="10" t="str">
        <f ca="1">DATEDIF('DATA PENDUDUK'!$G914,TODAY(),"Y")&amp; " TAHUN"</f>
        <v>44 TAHUN</v>
      </c>
      <c r="L914" s="24" t="s">
        <v>2114</v>
      </c>
    </row>
    <row r="915" spans="1:12" ht="20.100000000000001" customHeight="1" x14ac:dyDescent="0.25">
      <c r="A915" s="8">
        <f t="shared" si="14"/>
        <v>912</v>
      </c>
      <c r="B915" s="21" t="s">
        <v>2231</v>
      </c>
      <c r="C915" s="21" t="s">
        <v>2236</v>
      </c>
      <c r="D915" s="22" t="s">
        <v>2237</v>
      </c>
      <c r="E915" s="22" t="s">
        <v>671</v>
      </c>
      <c r="F915" s="22" t="s">
        <v>30</v>
      </c>
      <c r="G915" s="23">
        <v>41031</v>
      </c>
      <c r="H915" s="22" t="s">
        <v>35</v>
      </c>
      <c r="I915" s="22" t="s">
        <v>31</v>
      </c>
      <c r="J915" s="22" t="s">
        <v>32</v>
      </c>
      <c r="K915" s="10" t="str">
        <f ca="1">DATEDIF('DATA PENDUDUK'!$G915,TODAY(),"Y")&amp; " TAHUN"</f>
        <v>13 TAHUN</v>
      </c>
      <c r="L915" s="24" t="s">
        <v>2114</v>
      </c>
    </row>
    <row r="916" spans="1:12" ht="20.100000000000001" customHeight="1" x14ac:dyDescent="0.25">
      <c r="A916" s="8">
        <f t="shared" si="14"/>
        <v>913</v>
      </c>
      <c r="B916" s="21" t="s">
        <v>2231</v>
      </c>
      <c r="C916" s="21" t="s">
        <v>2238</v>
      </c>
      <c r="D916" s="22" t="s">
        <v>2239</v>
      </c>
      <c r="E916" s="22" t="s">
        <v>671</v>
      </c>
      <c r="F916" s="22" t="s">
        <v>30</v>
      </c>
      <c r="G916" s="23">
        <v>42988</v>
      </c>
      <c r="H916" s="22" t="s">
        <v>35</v>
      </c>
      <c r="I916" s="22" t="s">
        <v>40</v>
      </c>
      <c r="J916" s="22" t="s">
        <v>32</v>
      </c>
      <c r="K916" s="10" t="str">
        <f ca="1">DATEDIF('DATA PENDUDUK'!$G916,TODAY(),"Y")&amp; " TAHUN"</f>
        <v>7 TAHUN</v>
      </c>
      <c r="L916" s="24" t="s">
        <v>2114</v>
      </c>
    </row>
    <row r="917" spans="1:12" ht="20.100000000000001" customHeight="1" x14ac:dyDescent="0.25">
      <c r="A917" s="8">
        <f t="shared" si="14"/>
        <v>914</v>
      </c>
      <c r="B917" s="21" t="s">
        <v>2240</v>
      </c>
      <c r="C917" s="21" t="s">
        <v>2241</v>
      </c>
      <c r="D917" s="22" t="s">
        <v>2242</v>
      </c>
      <c r="E917" s="22" t="s">
        <v>671</v>
      </c>
      <c r="F917" s="22" t="s">
        <v>2243</v>
      </c>
      <c r="G917" s="23">
        <v>27650</v>
      </c>
      <c r="H917" s="22" t="s">
        <v>35</v>
      </c>
      <c r="I917" s="22" t="s">
        <v>19</v>
      </c>
      <c r="J917" s="22" t="s">
        <v>20</v>
      </c>
      <c r="K917" s="10" t="str">
        <f ca="1">DATEDIF('DATA PENDUDUK'!$G917,TODAY(),"Y")&amp; " TAHUN"</f>
        <v>49 TAHUN</v>
      </c>
      <c r="L917" s="24" t="s">
        <v>2114</v>
      </c>
    </row>
    <row r="918" spans="1:12" ht="20.100000000000001" customHeight="1" x14ac:dyDescent="0.25">
      <c r="A918" s="8">
        <f t="shared" si="14"/>
        <v>915</v>
      </c>
      <c r="B918" s="21" t="s">
        <v>2240</v>
      </c>
      <c r="C918" s="21" t="s">
        <v>2244</v>
      </c>
      <c r="D918" s="22" t="s">
        <v>2245</v>
      </c>
      <c r="E918" s="22" t="s">
        <v>1306</v>
      </c>
      <c r="F918" s="22" t="s">
        <v>110</v>
      </c>
      <c r="G918" s="23">
        <v>27802</v>
      </c>
      <c r="H918" s="22" t="s">
        <v>35</v>
      </c>
      <c r="I918" s="22" t="s">
        <v>26</v>
      </c>
      <c r="J918" s="22" t="s">
        <v>27</v>
      </c>
      <c r="K918" s="10" t="str">
        <f ca="1">DATEDIF('DATA PENDUDUK'!$G918,TODAY(),"Y")&amp; " TAHUN"</f>
        <v>49 TAHUN</v>
      </c>
      <c r="L918" s="24" t="s">
        <v>2114</v>
      </c>
    </row>
    <row r="919" spans="1:12" ht="20.100000000000001" customHeight="1" x14ac:dyDescent="0.25">
      <c r="A919" s="8">
        <f t="shared" si="14"/>
        <v>916</v>
      </c>
      <c r="B919" s="21" t="s">
        <v>2240</v>
      </c>
      <c r="C919" s="21" t="s">
        <v>2246</v>
      </c>
      <c r="D919" s="22" t="s">
        <v>1824</v>
      </c>
      <c r="E919" s="22" t="s">
        <v>1306</v>
      </c>
      <c r="F919" s="22" t="s">
        <v>30</v>
      </c>
      <c r="G919" s="23">
        <v>37255</v>
      </c>
      <c r="H919" s="22" t="s">
        <v>35</v>
      </c>
      <c r="I919" s="22" t="s">
        <v>40</v>
      </c>
      <c r="J919" s="22" t="s">
        <v>32</v>
      </c>
      <c r="K919" s="10" t="str">
        <f ca="1">DATEDIF('DATA PENDUDUK'!$G919,TODAY(),"Y")&amp; " TAHUN"</f>
        <v>23 TAHUN</v>
      </c>
      <c r="L919" s="24" t="s">
        <v>2114</v>
      </c>
    </row>
    <row r="920" spans="1:12" ht="20.100000000000001" customHeight="1" x14ac:dyDescent="0.25">
      <c r="A920" s="8">
        <f t="shared" si="14"/>
        <v>917</v>
      </c>
      <c r="B920" s="21" t="s">
        <v>2240</v>
      </c>
      <c r="C920" s="21" t="s">
        <v>2247</v>
      </c>
      <c r="D920" s="22" t="s">
        <v>2248</v>
      </c>
      <c r="E920" s="22" t="s">
        <v>1306</v>
      </c>
      <c r="F920" s="22" t="s">
        <v>30</v>
      </c>
      <c r="G920" s="23">
        <v>38962</v>
      </c>
      <c r="H920" s="22" t="s">
        <v>35</v>
      </c>
      <c r="I920" s="22" t="s">
        <v>31</v>
      </c>
      <c r="J920" s="22" t="s">
        <v>32</v>
      </c>
      <c r="K920" s="10" t="str">
        <f ca="1">DATEDIF('DATA PENDUDUK'!$G920,TODAY(),"Y")&amp; " TAHUN"</f>
        <v>18 TAHUN</v>
      </c>
      <c r="L920" s="24" t="s">
        <v>2114</v>
      </c>
    </row>
    <row r="921" spans="1:12" ht="20.100000000000001" customHeight="1" x14ac:dyDescent="0.25">
      <c r="A921" s="8">
        <f t="shared" si="14"/>
        <v>918</v>
      </c>
      <c r="B921" s="21" t="s">
        <v>2240</v>
      </c>
      <c r="C921" s="21" t="s">
        <v>2249</v>
      </c>
      <c r="D921" s="22" t="s">
        <v>2250</v>
      </c>
      <c r="E921" s="22" t="s">
        <v>671</v>
      </c>
      <c r="F921" s="22" t="s">
        <v>30</v>
      </c>
      <c r="G921" s="23">
        <v>43982</v>
      </c>
      <c r="H921" s="22" t="s">
        <v>35</v>
      </c>
      <c r="I921" s="22" t="s">
        <v>40</v>
      </c>
      <c r="J921" s="22" t="s">
        <v>32</v>
      </c>
      <c r="K921" s="10" t="str">
        <f ca="1">DATEDIF('DATA PENDUDUK'!$G921,TODAY(),"Y")&amp; " TAHUN"</f>
        <v>5 TAHUN</v>
      </c>
      <c r="L921" s="24" t="s">
        <v>2114</v>
      </c>
    </row>
    <row r="922" spans="1:12" ht="20.100000000000001" customHeight="1" x14ac:dyDescent="0.25">
      <c r="A922" s="8">
        <f t="shared" si="14"/>
        <v>919</v>
      </c>
      <c r="B922" s="21" t="s">
        <v>2251</v>
      </c>
      <c r="C922" s="21" t="s">
        <v>2252</v>
      </c>
      <c r="D922" s="22" t="s">
        <v>2253</v>
      </c>
      <c r="E922" s="22" t="s">
        <v>671</v>
      </c>
      <c r="F922" s="22" t="s">
        <v>205</v>
      </c>
      <c r="G922" s="23">
        <v>27646</v>
      </c>
      <c r="H922" s="22" t="s">
        <v>35</v>
      </c>
      <c r="I922" s="22" t="s">
        <v>19</v>
      </c>
      <c r="J922" s="22" t="s">
        <v>20</v>
      </c>
      <c r="K922" s="10" t="str">
        <f ca="1">DATEDIF('DATA PENDUDUK'!$G922,TODAY(),"Y")&amp; " TAHUN"</f>
        <v>49 TAHUN</v>
      </c>
      <c r="L922" s="24" t="s">
        <v>2114</v>
      </c>
    </row>
    <row r="923" spans="1:12" ht="20.100000000000001" customHeight="1" x14ac:dyDescent="0.25">
      <c r="A923" s="8">
        <f t="shared" si="14"/>
        <v>920</v>
      </c>
      <c r="B923" s="21" t="s">
        <v>2251</v>
      </c>
      <c r="C923" s="21" t="s">
        <v>2254</v>
      </c>
      <c r="D923" s="22" t="s">
        <v>2255</v>
      </c>
      <c r="E923" s="22" t="s">
        <v>1306</v>
      </c>
      <c r="F923" s="22" t="s">
        <v>2256</v>
      </c>
      <c r="G923" s="23">
        <v>24668</v>
      </c>
      <c r="H923" s="22" t="s">
        <v>35</v>
      </c>
      <c r="I923" s="22" t="s">
        <v>26</v>
      </c>
      <c r="J923" s="22" t="s">
        <v>27</v>
      </c>
      <c r="K923" s="10" t="str">
        <f ca="1">DATEDIF('DATA PENDUDUK'!$G923,TODAY(),"Y")&amp; " TAHUN"</f>
        <v>58 TAHUN</v>
      </c>
      <c r="L923" s="24" t="s">
        <v>2114</v>
      </c>
    </row>
    <row r="924" spans="1:12" ht="20.100000000000001" customHeight="1" x14ac:dyDescent="0.25">
      <c r="A924" s="8">
        <f t="shared" si="14"/>
        <v>921</v>
      </c>
      <c r="B924" s="21" t="s">
        <v>2251</v>
      </c>
      <c r="C924" s="21" t="s">
        <v>2257</v>
      </c>
      <c r="D924" s="22" t="s">
        <v>2258</v>
      </c>
      <c r="E924" s="22" t="s">
        <v>671</v>
      </c>
      <c r="F924" s="22" t="s">
        <v>30</v>
      </c>
      <c r="G924" s="23">
        <v>36074</v>
      </c>
      <c r="H924" s="22" t="s">
        <v>35</v>
      </c>
      <c r="I924" s="22" t="s">
        <v>40</v>
      </c>
      <c r="J924" s="22" t="s">
        <v>32</v>
      </c>
      <c r="K924" s="10" t="str">
        <f ca="1">DATEDIF('DATA PENDUDUK'!$G924,TODAY(),"Y")&amp; " TAHUN"</f>
        <v>26 TAHUN</v>
      </c>
      <c r="L924" s="24" t="s">
        <v>2114</v>
      </c>
    </row>
    <row r="925" spans="1:12" ht="20.100000000000001" customHeight="1" x14ac:dyDescent="0.25">
      <c r="A925" s="8">
        <f t="shared" si="14"/>
        <v>922</v>
      </c>
      <c r="B925" s="21" t="s">
        <v>2251</v>
      </c>
      <c r="C925" s="21" t="s">
        <v>2259</v>
      </c>
      <c r="D925" s="22" t="s">
        <v>2260</v>
      </c>
      <c r="E925" s="22" t="s">
        <v>1306</v>
      </c>
      <c r="F925" s="22" t="s">
        <v>30</v>
      </c>
      <c r="G925" s="23">
        <v>36820</v>
      </c>
      <c r="H925" s="26" t="s">
        <v>35</v>
      </c>
      <c r="I925" s="22" t="s">
        <v>40</v>
      </c>
      <c r="J925" s="22" t="s">
        <v>32</v>
      </c>
      <c r="K925" s="10" t="str">
        <f ca="1">DATEDIF('DATA PENDUDUK'!$G925,TODAY(),"Y")&amp; " TAHUN"</f>
        <v>24 TAHUN</v>
      </c>
      <c r="L925" s="24" t="s">
        <v>2114</v>
      </c>
    </row>
    <row r="926" spans="1:12" ht="20.100000000000001" customHeight="1" x14ac:dyDescent="0.25">
      <c r="A926" s="8">
        <f t="shared" si="14"/>
        <v>923</v>
      </c>
      <c r="B926" s="21" t="s">
        <v>2251</v>
      </c>
      <c r="C926" s="21" t="s">
        <v>2261</v>
      </c>
      <c r="D926" s="22" t="s">
        <v>2262</v>
      </c>
      <c r="E926" s="22" t="s">
        <v>671</v>
      </c>
      <c r="F926" s="22" t="s">
        <v>30</v>
      </c>
      <c r="G926" s="23">
        <v>39770</v>
      </c>
      <c r="H926" s="22" t="s">
        <v>35</v>
      </c>
      <c r="I926" s="22" t="s">
        <v>31</v>
      </c>
      <c r="J926" s="22" t="s">
        <v>32</v>
      </c>
      <c r="K926" s="10" t="str">
        <f ca="1">DATEDIF('DATA PENDUDUK'!$G926,TODAY(),"Y")&amp; " TAHUN"</f>
        <v>16 TAHUN</v>
      </c>
      <c r="L926" s="24" t="s">
        <v>2114</v>
      </c>
    </row>
    <row r="927" spans="1:12" ht="20.100000000000001" customHeight="1" x14ac:dyDescent="0.25">
      <c r="A927" s="8">
        <f t="shared" si="14"/>
        <v>924</v>
      </c>
      <c r="B927" s="21" t="s">
        <v>2263</v>
      </c>
      <c r="C927" s="21" t="s">
        <v>2264</v>
      </c>
      <c r="D927" s="22" t="s">
        <v>2265</v>
      </c>
      <c r="E927" s="22" t="s">
        <v>671</v>
      </c>
      <c r="F927" s="22" t="s">
        <v>2266</v>
      </c>
      <c r="G927" s="23">
        <v>26688</v>
      </c>
      <c r="H927" s="22" t="s">
        <v>35</v>
      </c>
      <c r="I927" s="22" t="s">
        <v>19</v>
      </c>
      <c r="J927" s="22" t="s">
        <v>20</v>
      </c>
      <c r="K927" s="10" t="str">
        <f ca="1">DATEDIF('DATA PENDUDUK'!$G927,TODAY(),"Y")&amp; " TAHUN"</f>
        <v>52 TAHUN</v>
      </c>
      <c r="L927" s="24" t="s">
        <v>2114</v>
      </c>
    </row>
    <row r="928" spans="1:12" ht="20.100000000000001" customHeight="1" x14ac:dyDescent="0.25">
      <c r="A928" s="8">
        <f t="shared" si="14"/>
        <v>925</v>
      </c>
      <c r="B928" s="21" t="s">
        <v>2263</v>
      </c>
      <c r="C928" s="21" t="s">
        <v>2267</v>
      </c>
      <c r="D928" s="22" t="s">
        <v>2268</v>
      </c>
      <c r="E928" s="22" t="s">
        <v>1306</v>
      </c>
      <c r="F928" s="22" t="s">
        <v>2266</v>
      </c>
      <c r="G928" s="23">
        <v>29259</v>
      </c>
      <c r="H928" s="22" t="s">
        <v>35</v>
      </c>
      <c r="I928" s="22" t="s">
        <v>26</v>
      </c>
      <c r="J928" s="22" t="s">
        <v>27</v>
      </c>
      <c r="K928" s="10" t="str">
        <f ca="1">DATEDIF('DATA PENDUDUK'!$G928,TODAY(),"Y")&amp; " TAHUN"</f>
        <v>45 TAHUN</v>
      </c>
      <c r="L928" s="24" t="s">
        <v>2114</v>
      </c>
    </row>
    <row r="929" spans="1:12" ht="20.100000000000001" customHeight="1" x14ac:dyDescent="0.25">
      <c r="A929" s="8">
        <f t="shared" si="14"/>
        <v>926</v>
      </c>
      <c r="B929" s="21" t="s">
        <v>2263</v>
      </c>
      <c r="C929" s="21" t="s">
        <v>2269</v>
      </c>
      <c r="D929" s="22" t="s">
        <v>2270</v>
      </c>
      <c r="E929" s="22" t="s">
        <v>671</v>
      </c>
      <c r="F929" s="22" t="s">
        <v>118</v>
      </c>
      <c r="G929" s="23">
        <v>36169</v>
      </c>
      <c r="H929" s="22" t="s">
        <v>35</v>
      </c>
      <c r="I929" s="22" t="s">
        <v>40</v>
      </c>
      <c r="J929" s="22" t="s">
        <v>32</v>
      </c>
      <c r="K929" s="10" t="str">
        <f ca="1">DATEDIF('DATA PENDUDUK'!$G929,TODAY(),"Y")&amp; " TAHUN"</f>
        <v>26 TAHUN</v>
      </c>
      <c r="L929" s="24" t="s">
        <v>2114</v>
      </c>
    </row>
    <row r="930" spans="1:12" ht="20.100000000000001" customHeight="1" x14ac:dyDescent="0.25">
      <c r="A930" s="8">
        <f t="shared" si="14"/>
        <v>927</v>
      </c>
      <c r="B930" s="21" t="s">
        <v>2263</v>
      </c>
      <c r="C930" s="21" t="s">
        <v>2271</v>
      </c>
      <c r="D930" s="22" t="s">
        <v>2272</v>
      </c>
      <c r="E930" s="22" t="s">
        <v>1306</v>
      </c>
      <c r="F930" s="22" t="s">
        <v>30</v>
      </c>
      <c r="G930" s="23">
        <v>37244</v>
      </c>
      <c r="H930" s="22" t="s">
        <v>35</v>
      </c>
      <c r="I930" s="22" t="s">
        <v>40</v>
      </c>
      <c r="J930" s="22" t="s">
        <v>32</v>
      </c>
      <c r="K930" s="10" t="str">
        <f ca="1">DATEDIF('DATA PENDUDUK'!$G930,TODAY(),"Y")&amp; " TAHUN"</f>
        <v>23 TAHUN</v>
      </c>
      <c r="L930" s="24" t="s">
        <v>2114</v>
      </c>
    </row>
    <row r="931" spans="1:12" ht="20.100000000000001" customHeight="1" x14ac:dyDescent="0.25">
      <c r="A931" s="8">
        <f t="shared" si="14"/>
        <v>928</v>
      </c>
      <c r="B931" s="21" t="s">
        <v>2263</v>
      </c>
      <c r="C931" s="21" t="s">
        <v>2273</v>
      </c>
      <c r="D931" s="22" t="s">
        <v>2274</v>
      </c>
      <c r="E931" s="22" t="s">
        <v>671</v>
      </c>
      <c r="F931" s="22" t="s">
        <v>30</v>
      </c>
      <c r="G931" s="23">
        <v>38754</v>
      </c>
      <c r="H931" s="22" t="s">
        <v>35</v>
      </c>
      <c r="I931" s="22" t="s">
        <v>31</v>
      </c>
      <c r="J931" s="22" t="s">
        <v>32</v>
      </c>
      <c r="K931" s="10" t="str">
        <f ca="1">DATEDIF('DATA PENDUDUK'!$G931,TODAY(),"Y")&amp; " TAHUN"</f>
        <v>19 TAHUN</v>
      </c>
      <c r="L931" s="24" t="s">
        <v>2114</v>
      </c>
    </row>
    <row r="932" spans="1:12" ht="20.100000000000001" customHeight="1" x14ac:dyDescent="0.25">
      <c r="A932" s="8">
        <f t="shared" si="14"/>
        <v>929</v>
      </c>
      <c r="B932" s="21" t="s">
        <v>2263</v>
      </c>
      <c r="C932" s="21" t="s">
        <v>2275</v>
      </c>
      <c r="D932" s="22" t="s">
        <v>2276</v>
      </c>
      <c r="E932" s="22" t="s">
        <v>671</v>
      </c>
      <c r="F932" s="22" t="s">
        <v>30</v>
      </c>
      <c r="G932" s="23">
        <v>41916</v>
      </c>
      <c r="H932" s="22" t="s">
        <v>35</v>
      </c>
      <c r="I932" s="22" t="s">
        <v>31</v>
      </c>
      <c r="J932" s="22" t="s">
        <v>32</v>
      </c>
      <c r="K932" s="10" t="str">
        <f ca="1">DATEDIF('DATA PENDUDUK'!$G932,TODAY(),"Y")&amp; " TAHUN"</f>
        <v>10 TAHUN</v>
      </c>
      <c r="L932" s="24" t="s">
        <v>2114</v>
      </c>
    </row>
    <row r="933" spans="1:12" ht="20.100000000000001" customHeight="1" x14ac:dyDescent="0.25">
      <c r="A933" s="8">
        <f t="shared" si="14"/>
        <v>930</v>
      </c>
      <c r="B933" s="21" t="s">
        <v>2263</v>
      </c>
      <c r="C933" s="21" t="s">
        <v>2277</v>
      </c>
      <c r="D933" s="22" t="s">
        <v>2278</v>
      </c>
      <c r="E933" s="22" t="s">
        <v>1306</v>
      </c>
      <c r="F933" s="22" t="s">
        <v>30</v>
      </c>
      <c r="G933" s="23">
        <v>43719</v>
      </c>
      <c r="H933" s="22" t="s">
        <v>35</v>
      </c>
      <c r="I933" s="22" t="s">
        <v>40</v>
      </c>
      <c r="J933" s="22" t="s">
        <v>32</v>
      </c>
      <c r="K933" s="10" t="str">
        <f ca="1">DATEDIF('DATA PENDUDUK'!$G933,TODAY(),"Y")&amp; " TAHUN"</f>
        <v>5 TAHUN</v>
      </c>
      <c r="L933" s="24" t="s">
        <v>2114</v>
      </c>
    </row>
    <row r="934" spans="1:12" ht="20.100000000000001" customHeight="1" x14ac:dyDescent="0.25">
      <c r="A934" s="8">
        <f t="shared" si="14"/>
        <v>931</v>
      </c>
      <c r="B934" s="21" t="s">
        <v>2279</v>
      </c>
      <c r="C934" s="21" t="s">
        <v>2280</v>
      </c>
      <c r="D934" s="22" t="s">
        <v>2281</v>
      </c>
      <c r="E934" s="22" t="s">
        <v>671</v>
      </c>
      <c r="F934" s="22" t="s">
        <v>2282</v>
      </c>
      <c r="G934" s="23">
        <v>26894</v>
      </c>
      <c r="H934" s="22" t="s">
        <v>35</v>
      </c>
      <c r="I934" s="22" t="s">
        <v>19</v>
      </c>
      <c r="J934" s="22" t="s">
        <v>20</v>
      </c>
      <c r="K934" s="10" t="str">
        <f ca="1">DATEDIF('DATA PENDUDUK'!$G934,TODAY(),"Y")&amp; " TAHUN"</f>
        <v>51 TAHUN</v>
      </c>
      <c r="L934" s="24" t="s">
        <v>2114</v>
      </c>
    </row>
    <row r="935" spans="1:12" ht="20.100000000000001" customHeight="1" x14ac:dyDescent="0.25">
      <c r="A935" s="8">
        <f t="shared" si="14"/>
        <v>932</v>
      </c>
      <c r="B935" s="21" t="s">
        <v>2279</v>
      </c>
      <c r="C935" s="21" t="s">
        <v>2283</v>
      </c>
      <c r="D935" s="22" t="s">
        <v>2284</v>
      </c>
      <c r="E935" s="22" t="s">
        <v>1306</v>
      </c>
      <c r="F935" s="22" t="s">
        <v>2285</v>
      </c>
      <c r="G935" s="23">
        <v>34154</v>
      </c>
      <c r="H935" s="22" t="s">
        <v>35</v>
      </c>
      <c r="I935" s="22" t="s">
        <v>26</v>
      </c>
      <c r="J935" s="22" t="s">
        <v>27</v>
      </c>
      <c r="K935" s="10" t="str">
        <f ca="1">DATEDIF('DATA PENDUDUK'!$G935,TODAY(),"Y")&amp; " TAHUN"</f>
        <v>32 TAHUN</v>
      </c>
      <c r="L935" s="24" t="s">
        <v>2114</v>
      </c>
    </row>
    <row r="936" spans="1:12" ht="20.100000000000001" customHeight="1" x14ac:dyDescent="0.25">
      <c r="A936" s="8">
        <f t="shared" si="14"/>
        <v>933</v>
      </c>
      <c r="B936" s="21" t="s">
        <v>2279</v>
      </c>
      <c r="C936" s="21" t="s">
        <v>2286</v>
      </c>
      <c r="D936" s="22" t="s">
        <v>2287</v>
      </c>
      <c r="E936" s="22" t="s">
        <v>1306</v>
      </c>
      <c r="F936" s="22" t="s">
        <v>30</v>
      </c>
      <c r="G936" s="23">
        <v>40816</v>
      </c>
      <c r="H936" s="22" t="s">
        <v>35</v>
      </c>
      <c r="I936" s="22" t="s">
        <v>31</v>
      </c>
      <c r="J936" s="22" t="s">
        <v>32</v>
      </c>
      <c r="K936" s="10" t="str">
        <f ca="1">DATEDIF('DATA PENDUDUK'!$G936,TODAY(),"Y")&amp; " TAHUN"</f>
        <v>13 TAHUN</v>
      </c>
      <c r="L936" s="24" t="s">
        <v>2114</v>
      </c>
    </row>
    <row r="937" spans="1:12" ht="20.100000000000001" customHeight="1" x14ac:dyDescent="0.25">
      <c r="A937" s="8">
        <f t="shared" si="14"/>
        <v>934</v>
      </c>
      <c r="B937" s="21" t="s">
        <v>2279</v>
      </c>
      <c r="C937" s="21" t="s">
        <v>2288</v>
      </c>
      <c r="D937" s="22" t="s">
        <v>2289</v>
      </c>
      <c r="E937" s="22" t="s">
        <v>1306</v>
      </c>
      <c r="F937" s="22" t="s">
        <v>30</v>
      </c>
      <c r="G937" s="23">
        <v>43973</v>
      </c>
      <c r="H937" s="22" t="s">
        <v>35</v>
      </c>
      <c r="I937" s="22" t="s">
        <v>40</v>
      </c>
      <c r="J937" s="22" t="s">
        <v>32</v>
      </c>
      <c r="K937" s="10" t="str">
        <f ca="1">DATEDIF('DATA PENDUDUK'!$G937,TODAY(),"Y")&amp; " TAHUN"</f>
        <v>5 TAHUN</v>
      </c>
      <c r="L937" s="24" t="s">
        <v>2114</v>
      </c>
    </row>
    <row r="938" spans="1:12" ht="20.100000000000001" customHeight="1" x14ac:dyDescent="0.25">
      <c r="A938" s="8">
        <f t="shared" si="14"/>
        <v>935</v>
      </c>
      <c r="B938" s="21" t="s">
        <v>2290</v>
      </c>
      <c r="C938" s="21" t="s">
        <v>2291</v>
      </c>
      <c r="D938" s="22" t="s">
        <v>2292</v>
      </c>
      <c r="E938" s="22" t="s">
        <v>671</v>
      </c>
      <c r="F938" s="22" t="s">
        <v>2293</v>
      </c>
      <c r="G938" s="23">
        <v>28530</v>
      </c>
      <c r="H938" s="22" t="s">
        <v>35</v>
      </c>
      <c r="I938" s="22" t="s">
        <v>40</v>
      </c>
      <c r="J938" s="22" t="s">
        <v>20</v>
      </c>
      <c r="K938" s="10" t="str">
        <f ca="1">DATEDIF('DATA PENDUDUK'!$G938,TODAY(),"Y")&amp; " TAHUN"</f>
        <v>47 TAHUN</v>
      </c>
      <c r="L938" s="24" t="s">
        <v>2114</v>
      </c>
    </row>
    <row r="939" spans="1:12" ht="20.100000000000001" customHeight="1" x14ac:dyDescent="0.25">
      <c r="A939" s="8">
        <f t="shared" si="14"/>
        <v>936</v>
      </c>
      <c r="B939" s="21" t="s">
        <v>2290</v>
      </c>
      <c r="C939" s="21" t="s">
        <v>2294</v>
      </c>
      <c r="D939" s="22" t="s">
        <v>2295</v>
      </c>
      <c r="E939" s="22" t="s">
        <v>1306</v>
      </c>
      <c r="F939" s="22" t="s">
        <v>518</v>
      </c>
      <c r="G939" s="23">
        <v>30314</v>
      </c>
      <c r="H939" s="22" t="s">
        <v>35</v>
      </c>
      <c r="I939" s="22" t="s">
        <v>26</v>
      </c>
      <c r="J939" s="22" t="s">
        <v>27</v>
      </c>
      <c r="K939" s="10" t="str">
        <f ca="1">DATEDIF('DATA PENDUDUK'!$G939,TODAY(),"Y")&amp; " TAHUN"</f>
        <v>42 TAHUN</v>
      </c>
      <c r="L939" s="24" t="s">
        <v>2114</v>
      </c>
    </row>
    <row r="940" spans="1:12" ht="20.100000000000001" customHeight="1" x14ac:dyDescent="0.25">
      <c r="A940" s="8">
        <f t="shared" si="14"/>
        <v>937</v>
      </c>
      <c r="B940" s="21" t="s">
        <v>2290</v>
      </c>
      <c r="C940" s="21" t="s">
        <v>2296</v>
      </c>
      <c r="D940" s="22" t="s">
        <v>2297</v>
      </c>
      <c r="E940" s="22" t="s">
        <v>1306</v>
      </c>
      <c r="F940" s="22" t="s">
        <v>30</v>
      </c>
      <c r="G940" s="23">
        <v>43374</v>
      </c>
      <c r="H940" s="22" t="s">
        <v>35</v>
      </c>
      <c r="I940" s="22" t="s">
        <v>40</v>
      </c>
      <c r="J940" s="22" t="s">
        <v>32</v>
      </c>
      <c r="K940" s="10" t="str">
        <f ca="1">DATEDIF('DATA PENDUDUK'!$G940,TODAY(),"Y")&amp; " TAHUN"</f>
        <v>6 TAHUN</v>
      </c>
      <c r="L940" s="24" t="s">
        <v>2114</v>
      </c>
    </row>
    <row r="941" spans="1:12" ht="20.100000000000001" customHeight="1" x14ac:dyDescent="0.25">
      <c r="A941" s="8">
        <f t="shared" si="14"/>
        <v>938</v>
      </c>
      <c r="B941" s="21" t="s">
        <v>2298</v>
      </c>
      <c r="C941" s="21" t="s">
        <v>2299</v>
      </c>
      <c r="D941" s="22" t="s">
        <v>2300</v>
      </c>
      <c r="E941" s="22" t="s">
        <v>671</v>
      </c>
      <c r="F941" s="22" t="s">
        <v>68</v>
      </c>
      <c r="G941" s="23">
        <v>31274</v>
      </c>
      <c r="H941" s="22" t="s">
        <v>35</v>
      </c>
      <c r="I941" s="22" t="s">
        <v>19</v>
      </c>
      <c r="J941" s="22" t="s">
        <v>20</v>
      </c>
      <c r="K941" s="10" t="str">
        <f ca="1">DATEDIF('DATA PENDUDUK'!$G941,TODAY(),"Y")&amp; " TAHUN"</f>
        <v>39 TAHUN</v>
      </c>
      <c r="L941" s="24" t="s">
        <v>2114</v>
      </c>
    </row>
    <row r="942" spans="1:12" ht="20.100000000000001" customHeight="1" x14ac:dyDescent="0.25">
      <c r="A942" s="8">
        <f t="shared" si="14"/>
        <v>939</v>
      </c>
      <c r="B942" s="21" t="s">
        <v>2298</v>
      </c>
      <c r="C942" s="21" t="s">
        <v>2301</v>
      </c>
      <c r="D942" s="22" t="s">
        <v>2302</v>
      </c>
      <c r="E942" s="22" t="s">
        <v>1306</v>
      </c>
      <c r="F942" s="22" t="s">
        <v>68</v>
      </c>
      <c r="G942" s="23">
        <v>32642</v>
      </c>
      <c r="H942" s="22" t="s">
        <v>35</v>
      </c>
      <c r="I942" s="22" t="s">
        <v>26</v>
      </c>
      <c r="J942" s="22" t="s">
        <v>27</v>
      </c>
      <c r="K942" s="10" t="str">
        <f ca="1">DATEDIF('DATA PENDUDUK'!$G942,TODAY(),"Y")&amp; " TAHUN"</f>
        <v>36 TAHUN</v>
      </c>
      <c r="L942" s="24" t="s">
        <v>2114</v>
      </c>
    </row>
    <row r="943" spans="1:12" ht="20.100000000000001" customHeight="1" x14ac:dyDescent="0.25">
      <c r="A943" s="8">
        <f t="shared" si="14"/>
        <v>940</v>
      </c>
      <c r="B943" s="21" t="s">
        <v>2303</v>
      </c>
      <c r="C943" s="21" t="s">
        <v>2304</v>
      </c>
      <c r="D943" s="22" t="s">
        <v>2305</v>
      </c>
      <c r="E943" s="22" t="s">
        <v>671</v>
      </c>
      <c r="F943" s="22" t="s">
        <v>818</v>
      </c>
      <c r="G943" s="23">
        <v>30069</v>
      </c>
      <c r="H943" s="22" t="s">
        <v>35</v>
      </c>
      <c r="I943" s="22" t="s">
        <v>40</v>
      </c>
      <c r="J943" s="22" t="s">
        <v>20</v>
      </c>
      <c r="K943" s="10" t="str">
        <f ca="1">DATEDIF('DATA PENDUDUK'!$G943,TODAY(),"Y")&amp; " TAHUN"</f>
        <v>43 TAHUN</v>
      </c>
      <c r="L943" s="24" t="s">
        <v>2114</v>
      </c>
    </row>
    <row r="944" spans="1:12" ht="20.100000000000001" customHeight="1" x14ac:dyDescent="0.25">
      <c r="A944" s="8">
        <f t="shared" si="14"/>
        <v>941</v>
      </c>
      <c r="B944" s="21" t="s">
        <v>2306</v>
      </c>
      <c r="C944" s="21" t="s">
        <v>2307</v>
      </c>
      <c r="D944" s="22" t="s">
        <v>2308</v>
      </c>
      <c r="E944" s="22" t="s">
        <v>1306</v>
      </c>
      <c r="F944" s="22" t="s">
        <v>353</v>
      </c>
      <c r="G944" s="23">
        <v>33042</v>
      </c>
      <c r="H944" s="22" t="s">
        <v>35</v>
      </c>
      <c r="I944" s="22" t="s">
        <v>26</v>
      </c>
      <c r="J944" s="22" t="s">
        <v>20</v>
      </c>
      <c r="K944" s="10" t="str">
        <f ca="1">DATEDIF('DATA PENDUDUK'!$G944,TODAY(),"Y")&amp; " TAHUN"</f>
        <v>35 TAHUN</v>
      </c>
      <c r="L944" s="24" t="s">
        <v>2114</v>
      </c>
    </row>
    <row r="945" spans="1:12" ht="20.100000000000001" customHeight="1" x14ac:dyDescent="0.25">
      <c r="A945" s="8">
        <f t="shared" si="14"/>
        <v>942</v>
      </c>
      <c r="B945" s="21" t="s">
        <v>2309</v>
      </c>
      <c r="C945" s="21" t="s">
        <v>2310</v>
      </c>
      <c r="D945" s="22" t="s">
        <v>2311</v>
      </c>
      <c r="E945" s="22" t="s">
        <v>1306</v>
      </c>
      <c r="F945" s="22" t="s">
        <v>25</v>
      </c>
      <c r="G945" s="23">
        <v>32006</v>
      </c>
      <c r="H945" s="22" t="s">
        <v>35</v>
      </c>
      <c r="I945" s="22" t="s">
        <v>40</v>
      </c>
      <c r="J945" s="22" t="s">
        <v>20</v>
      </c>
      <c r="K945" s="10" t="str">
        <f ca="1">DATEDIF('DATA PENDUDUK'!$G945,TODAY(),"Y")&amp; " TAHUN"</f>
        <v>37 TAHUN</v>
      </c>
      <c r="L945" s="24" t="s">
        <v>2114</v>
      </c>
    </row>
    <row r="946" spans="1:12" ht="20.100000000000001" customHeight="1" x14ac:dyDescent="0.25">
      <c r="A946" s="8">
        <f t="shared" si="14"/>
        <v>943</v>
      </c>
      <c r="B946" s="21" t="s">
        <v>2309</v>
      </c>
      <c r="C946" s="21" t="s">
        <v>2312</v>
      </c>
      <c r="D946" s="22" t="s">
        <v>2313</v>
      </c>
      <c r="E946" s="22" t="s">
        <v>1306</v>
      </c>
      <c r="F946" s="22" t="s">
        <v>25</v>
      </c>
      <c r="G946" s="23">
        <v>43333</v>
      </c>
      <c r="H946" s="22" t="s">
        <v>35</v>
      </c>
      <c r="I946" s="22" t="s">
        <v>40</v>
      </c>
      <c r="J946" s="22" t="s">
        <v>32</v>
      </c>
      <c r="K946" s="10" t="str">
        <f ca="1">DATEDIF('DATA PENDUDUK'!$G946,TODAY(),"Y")&amp; " TAHUN"</f>
        <v>6 TAHUN</v>
      </c>
      <c r="L946" s="24" t="s">
        <v>2114</v>
      </c>
    </row>
    <row r="947" spans="1:12" ht="20.100000000000001" customHeight="1" x14ac:dyDescent="0.25">
      <c r="A947" s="8">
        <f t="shared" si="14"/>
        <v>944</v>
      </c>
      <c r="B947" s="21" t="s">
        <v>2314</v>
      </c>
      <c r="C947" s="21" t="s">
        <v>2315</v>
      </c>
      <c r="D947" s="22" t="s">
        <v>2316</v>
      </c>
      <c r="E947" s="22" t="s">
        <v>671</v>
      </c>
      <c r="F947" s="22" t="s">
        <v>268</v>
      </c>
      <c r="G947" s="23">
        <v>28318</v>
      </c>
      <c r="H947" s="22" t="s">
        <v>35</v>
      </c>
      <c r="I947" s="22" t="s">
        <v>19</v>
      </c>
      <c r="J947" s="22" t="s">
        <v>20</v>
      </c>
      <c r="K947" s="10" t="str">
        <f ca="1">DATEDIF('DATA PENDUDUK'!$G947,TODAY(),"Y")&amp; " TAHUN"</f>
        <v>48 TAHUN</v>
      </c>
      <c r="L947" s="24" t="s">
        <v>2114</v>
      </c>
    </row>
    <row r="948" spans="1:12" ht="20.100000000000001" customHeight="1" x14ac:dyDescent="0.25">
      <c r="A948" s="8">
        <f t="shared" si="14"/>
        <v>945</v>
      </c>
      <c r="B948" s="21" t="s">
        <v>2314</v>
      </c>
      <c r="C948" s="21" t="s">
        <v>2317</v>
      </c>
      <c r="D948" s="22" t="s">
        <v>2318</v>
      </c>
      <c r="E948" s="22" t="s">
        <v>1306</v>
      </c>
      <c r="F948" s="22" t="s">
        <v>518</v>
      </c>
      <c r="G948" s="23">
        <v>25555</v>
      </c>
      <c r="H948" s="22" t="s">
        <v>35</v>
      </c>
      <c r="I948" s="22" t="s">
        <v>19</v>
      </c>
      <c r="J948" s="22" t="s">
        <v>27</v>
      </c>
      <c r="K948" s="10" t="str">
        <f ca="1">DATEDIF('DATA PENDUDUK'!$G948,TODAY(),"Y")&amp; " TAHUN"</f>
        <v>55 TAHUN</v>
      </c>
      <c r="L948" s="24" t="s">
        <v>2114</v>
      </c>
    </row>
    <row r="949" spans="1:12" ht="20.100000000000001" customHeight="1" x14ac:dyDescent="0.25">
      <c r="A949" s="8">
        <f t="shared" si="14"/>
        <v>946</v>
      </c>
      <c r="B949" s="21" t="s">
        <v>2314</v>
      </c>
      <c r="C949" s="21" t="s">
        <v>2319</v>
      </c>
      <c r="D949" s="22" t="s">
        <v>2320</v>
      </c>
      <c r="E949" s="22" t="s">
        <v>1306</v>
      </c>
      <c r="F949" s="22" t="s">
        <v>30</v>
      </c>
      <c r="G949" s="23">
        <v>43450</v>
      </c>
      <c r="H949" s="22" t="s">
        <v>35</v>
      </c>
      <c r="I949" s="22" t="s">
        <v>40</v>
      </c>
      <c r="J949" s="22" t="s">
        <v>32</v>
      </c>
      <c r="K949" s="10" t="str">
        <f ca="1">DATEDIF('DATA PENDUDUK'!$G949,TODAY(),"Y")&amp; " TAHUN"</f>
        <v>6 TAHUN</v>
      </c>
      <c r="L949" s="24" t="s">
        <v>2114</v>
      </c>
    </row>
    <row r="950" spans="1:12" ht="20.100000000000001" customHeight="1" x14ac:dyDescent="0.25">
      <c r="A950" s="8">
        <f t="shared" si="14"/>
        <v>947</v>
      </c>
      <c r="B950" s="21" t="s">
        <v>2321</v>
      </c>
      <c r="C950" s="21" t="s">
        <v>2322</v>
      </c>
      <c r="D950" s="25" t="s">
        <v>2323</v>
      </c>
      <c r="E950" s="22" t="s">
        <v>1306</v>
      </c>
      <c r="F950" s="22" t="s">
        <v>195</v>
      </c>
      <c r="G950" s="23">
        <v>28349</v>
      </c>
      <c r="H950" s="22" t="s">
        <v>35</v>
      </c>
      <c r="I950" s="22" t="s">
        <v>19</v>
      </c>
      <c r="J950" s="22" t="s">
        <v>20</v>
      </c>
      <c r="K950" s="10" t="str">
        <f ca="1">DATEDIF('DATA PENDUDUK'!$G950,TODAY(),"Y")&amp; " TAHUN"</f>
        <v>47 TAHUN</v>
      </c>
      <c r="L950" s="24" t="s">
        <v>2114</v>
      </c>
    </row>
    <row r="951" spans="1:12" ht="20.100000000000001" customHeight="1" x14ac:dyDescent="0.25">
      <c r="A951" s="8">
        <f t="shared" si="14"/>
        <v>948</v>
      </c>
      <c r="B951" s="21" t="s">
        <v>2324</v>
      </c>
      <c r="C951" s="21" t="s">
        <v>2325</v>
      </c>
      <c r="D951" s="22" t="s">
        <v>2326</v>
      </c>
      <c r="E951" s="22" t="s">
        <v>671</v>
      </c>
      <c r="F951" s="22" t="s">
        <v>195</v>
      </c>
      <c r="G951" s="23">
        <v>26889</v>
      </c>
      <c r="H951" s="22" t="s">
        <v>35</v>
      </c>
      <c r="I951" s="22" t="s">
        <v>19</v>
      </c>
      <c r="J951" s="22" t="s">
        <v>20</v>
      </c>
      <c r="K951" s="10" t="str">
        <f ca="1">DATEDIF('DATA PENDUDUK'!$G951,TODAY(),"Y")&amp; " TAHUN"</f>
        <v>51 TAHUN</v>
      </c>
      <c r="L951" s="24" t="s">
        <v>2114</v>
      </c>
    </row>
    <row r="952" spans="1:12" ht="20.100000000000001" customHeight="1" x14ac:dyDescent="0.25">
      <c r="A952" s="8">
        <f t="shared" si="14"/>
        <v>949</v>
      </c>
      <c r="B952" s="21" t="s">
        <v>2324</v>
      </c>
      <c r="C952" s="21" t="s">
        <v>2327</v>
      </c>
      <c r="D952" s="22" t="s">
        <v>2328</v>
      </c>
      <c r="E952" s="22" t="s">
        <v>1306</v>
      </c>
      <c r="F952" s="22" t="s">
        <v>195</v>
      </c>
      <c r="G952" s="23">
        <v>25403</v>
      </c>
      <c r="H952" s="22" t="s">
        <v>438</v>
      </c>
      <c r="I952" s="22" t="s">
        <v>19</v>
      </c>
      <c r="J952" s="22" t="s">
        <v>37</v>
      </c>
      <c r="K952" s="10" t="str">
        <f ca="1">DATEDIF('DATA PENDUDUK'!$G952,TODAY(),"Y")&amp; " TAHUN"</f>
        <v>56 TAHUN</v>
      </c>
      <c r="L952" s="24" t="s">
        <v>2114</v>
      </c>
    </row>
    <row r="953" spans="1:12" ht="20.100000000000001" customHeight="1" x14ac:dyDescent="0.25">
      <c r="A953" s="8">
        <f t="shared" si="14"/>
        <v>950</v>
      </c>
      <c r="B953" s="21" t="s">
        <v>43</v>
      </c>
      <c r="C953" s="21" t="s">
        <v>44</v>
      </c>
      <c r="D953" s="22" t="s">
        <v>45</v>
      </c>
      <c r="E953" s="22" t="s">
        <v>671</v>
      </c>
      <c r="F953" s="22" t="s">
        <v>46</v>
      </c>
      <c r="G953" s="23">
        <v>29329</v>
      </c>
      <c r="H953" s="22" t="s">
        <v>35</v>
      </c>
      <c r="I953" s="22" t="s">
        <v>19</v>
      </c>
      <c r="J953" s="22" t="s">
        <v>20</v>
      </c>
      <c r="K953" s="10" t="str">
        <f ca="1">DATEDIF('DATA PENDUDUK'!$G953,TODAY(),"Y")&amp; " TAHUN"</f>
        <v>45 TAHUN</v>
      </c>
      <c r="L953" s="24" t="s">
        <v>2114</v>
      </c>
    </row>
    <row r="954" spans="1:12" ht="20.100000000000001" customHeight="1" x14ac:dyDescent="0.25">
      <c r="A954" s="8">
        <f t="shared" si="14"/>
        <v>951</v>
      </c>
      <c r="B954" s="21" t="s">
        <v>2329</v>
      </c>
      <c r="C954" s="21" t="s">
        <v>2330</v>
      </c>
      <c r="D954" s="22" t="s">
        <v>2331</v>
      </c>
      <c r="E954" s="22" t="s">
        <v>671</v>
      </c>
      <c r="F954" s="22" t="s">
        <v>2332</v>
      </c>
      <c r="G954" s="23">
        <v>28883</v>
      </c>
      <c r="H954" s="22" t="s">
        <v>438</v>
      </c>
      <c r="I954" s="22" t="s">
        <v>40</v>
      </c>
      <c r="J954" s="22" t="s">
        <v>20</v>
      </c>
      <c r="K954" s="10" t="str">
        <f ca="1">DATEDIF('DATA PENDUDUK'!$G954,TODAY(),"Y")&amp; " TAHUN"</f>
        <v>46 TAHUN</v>
      </c>
      <c r="L954" s="24" t="s">
        <v>2114</v>
      </c>
    </row>
    <row r="955" spans="1:12" ht="20.100000000000001" customHeight="1" x14ac:dyDescent="0.25">
      <c r="A955" s="8">
        <f t="shared" si="14"/>
        <v>952</v>
      </c>
      <c r="B955" s="21" t="s">
        <v>2333</v>
      </c>
      <c r="C955" s="21" t="s">
        <v>2334</v>
      </c>
      <c r="D955" s="22" t="s">
        <v>612</v>
      </c>
      <c r="E955" s="22" t="s">
        <v>1306</v>
      </c>
      <c r="F955" s="22" t="s">
        <v>2335</v>
      </c>
      <c r="G955" s="23">
        <v>31260</v>
      </c>
      <c r="H955" s="22" t="s">
        <v>35</v>
      </c>
      <c r="I955" s="22" t="s">
        <v>19</v>
      </c>
      <c r="J955" s="22" t="s">
        <v>20</v>
      </c>
      <c r="K955" s="10" t="str">
        <f ca="1">DATEDIF('DATA PENDUDUK'!$G955,TODAY(),"Y")&amp; " TAHUN"</f>
        <v>39 TAHUN</v>
      </c>
      <c r="L955" s="24" t="s">
        <v>2114</v>
      </c>
    </row>
    <row r="956" spans="1:12" ht="20.100000000000001" customHeight="1" x14ac:dyDescent="0.25">
      <c r="A956" s="8">
        <f t="shared" si="14"/>
        <v>953</v>
      </c>
      <c r="B956" s="21" t="s">
        <v>2333</v>
      </c>
      <c r="C956" s="21" t="s">
        <v>2336</v>
      </c>
      <c r="D956" s="22" t="s">
        <v>2337</v>
      </c>
      <c r="E956" s="22" t="s">
        <v>1306</v>
      </c>
      <c r="F956" s="22" t="s">
        <v>30</v>
      </c>
      <c r="G956" s="23">
        <v>43797</v>
      </c>
      <c r="H956" s="22" t="s">
        <v>35</v>
      </c>
      <c r="I956" s="22" t="s">
        <v>40</v>
      </c>
      <c r="J956" s="22" t="s">
        <v>32</v>
      </c>
      <c r="K956" s="10" t="str">
        <f ca="1">DATEDIF('DATA PENDUDUK'!$G956,TODAY(),"Y")&amp; " TAHUN"</f>
        <v>5 TAHUN</v>
      </c>
      <c r="L956" s="24" t="s">
        <v>2114</v>
      </c>
    </row>
    <row r="957" spans="1:12" ht="20.100000000000001" customHeight="1" x14ac:dyDescent="0.25">
      <c r="A957" s="8">
        <f t="shared" si="14"/>
        <v>954</v>
      </c>
      <c r="B957" s="21" t="s">
        <v>2338</v>
      </c>
      <c r="C957" s="21" t="s">
        <v>2339</v>
      </c>
      <c r="D957" s="22" t="s">
        <v>2340</v>
      </c>
      <c r="E957" s="22" t="s">
        <v>1306</v>
      </c>
      <c r="F957" s="22" t="s">
        <v>79</v>
      </c>
      <c r="G957" s="23">
        <v>24707</v>
      </c>
      <c r="H957" s="22" t="s">
        <v>35</v>
      </c>
      <c r="I957" s="22" t="s">
        <v>19</v>
      </c>
      <c r="J957" s="22" t="s">
        <v>20</v>
      </c>
      <c r="K957" s="10" t="str">
        <f ca="1">DATEDIF('DATA PENDUDUK'!$G957,TODAY(),"Y")&amp; " TAHUN"</f>
        <v>57 TAHUN</v>
      </c>
      <c r="L957" s="24" t="s">
        <v>2114</v>
      </c>
    </row>
    <row r="958" spans="1:12" ht="20.100000000000001" customHeight="1" x14ac:dyDescent="0.25">
      <c r="A958" s="8">
        <f t="shared" si="14"/>
        <v>955</v>
      </c>
      <c r="B958" s="21" t="s">
        <v>2338</v>
      </c>
      <c r="C958" s="21" t="s">
        <v>2341</v>
      </c>
      <c r="D958" s="22" t="s">
        <v>2342</v>
      </c>
      <c r="E958" s="22" t="s">
        <v>671</v>
      </c>
      <c r="F958" s="22" t="s">
        <v>30</v>
      </c>
      <c r="G958" s="23">
        <v>35182</v>
      </c>
      <c r="H958" s="22" t="s">
        <v>35</v>
      </c>
      <c r="I958" s="22" t="s">
        <v>40</v>
      </c>
      <c r="J958" s="22" t="s">
        <v>32</v>
      </c>
      <c r="K958" s="10" t="str">
        <f ca="1">DATEDIF('DATA PENDUDUK'!$G958,TODAY(),"Y")&amp; " TAHUN"</f>
        <v>29 TAHUN</v>
      </c>
      <c r="L958" s="24" t="s">
        <v>2114</v>
      </c>
    </row>
    <row r="959" spans="1:12" ht="20.100000000000001" customHeight="1" x14ac:dyDescent="0.25">
      <c r="A959" s="8">
        <f t="shared" si="14"/>
        <v>956</v>
      </c>
      <c r="B959" s="21" t="s">
        <v>2338</v>
      </c>
      <c r="C959" s="21" t="s">
        <v>2343</v>
      </c>
      <c r="D959" s="22" t="s">
        <v>2344</v>
      </c>
      <c r="E959" s="22" t="s">
        <v>671</v>
      </c>
      <c r="F959" s="22" t="s">
        <v>30</v>
      </c>
      <c r="G959" s="23">
        <v>36836</v>
      </c>
      <c r="H959" s="22" t="s">
        <v>35</v>
      </c>
      <c r="I959" s="22" t="s">
        <v>40</v>
      </c>
      <c r="J959" s="22" t="s">
        <v>32</v>
      </c>
      <c r="K959" s="10" t="str">
        <f ca="1">DATEDIF('DATA PENDUDUK'!$G959,TODAY(),"Y")&amp; " TAHUN"</f>
        <v>24 TAHUN</v>
      </c>
      <c r="L959" s="24" t="s">
        <v>2114</v>
      </c>
    </row>
    <row r="960" spans="1:12" ht="20.100000000000001" customHeight="1" x14ac:dyDescent="0.25">
      <c r="A960" s="8">
        <f t="shared" si="14"/>
        <v>957</v>
      </c>
      <c r="B960" s="21" t="s">
        <v>2345</v>
      </c>
      <c r="C960" s="21" t="s">
        <v>2346</v>
      </c>
      <c r="D960" s="22" t="s">
        <v>2347</v>
      </c>
      <c r="E960" s="22" t="s">
        <v>671</v>
      </c>
      <c r="F960" s="22" t="s">
        <v>400</v>
      </c>
      <c r="G960" s="23">
        <v>30293</v>
      </c>
      <c r="H960" s="22" t="s">
        <v>35</v>
      </c>
      <c r="I960" s="22" t="s">
        <v>19</v>
      </c>
      <c r="J960" s="22" t="s">
        <v>20</v>
      </c>
      <c r="K960" s="10" t="str">
        <f ca="1">DATEDIF('DATA PENDUDUK'!$G960,TODAY(),"Y")&amp; " TAHUN"</f>
        <v>42 TAHUN</v>
      </c>
      <c r="L960" s="24" t="s">
        <v>2114</v>
      </c>
    </row>
    <row r="961" spans="1:12" ht="20.100000000000001" customHeight="1" x14ac:dyDescent="0.25">
      <c r="A961" s="8">
        <f t="shared" si="14"/>
        <v>958</v>
      </c>
      <c r="B961" s="21" t="s">
        <v>2345</v>
      </c>
      <c r="C961" s="21" t="s">
        <v>2348</v>
      </c>
      <c r="D961" s="22" t="s">
        <v>2349</v>
      </c>
      <c r="E961" s="22" t="s">
        <v>1306</v>
      </c>
      <c r="F961" s="22" t="s">
        <v>30</v>
      </c>
      <c r="G961" s="23">
        <v>32513</v>
      </c>
      <c r="H961" s="22" t="s">
        <v>35</v>
      </c>
      <c r="I961" s="22" t="s">
        <v>26</v>
      </c>
      <c r="J961" s="22" t="s">
        <v>27</v>
      </c>
      <c r="K961" s="10" t="str">
        <f ca="1">DATEDIF('DATA PENDUDUK'!$G961,TODAY(),"Y")&amp; " TAHUN"</f>
        <v>36 TAHUN</v>
      </c>
      <c r="L961" s="24" t="s">
        <v>2114</v>
      </c>
    </row>
    <row r="962" spans="1:12" ht="20.100000000000001" customHeight="1" x14ac:dyDescent="0.25">
      <c r="A962" s="8">
        <f t="shared" si="14"/>
        <v>959</v>
      </c>
      <c r="B962" s="21" t="s">
        <v>2345</v>
      </c>
      <c r="C962" s="21" t="s">
        <v>2350</v>
      </c>
      <c r="D962" s="25" t="s">
        <v>2351</v>
      </c>
      <c r="E962" s="22" t="s">
        <v>1306</v>
      </c>
      <c r="F962" s="22" t="s">
        <v>2352</v>
      </c>
      <c r="G962" s="23">
        <v>37548</v>
      </c>
      <c r="H962" s="22" t="s">
        <v>35</v>
      </c>
      <c r="I962" s="22" t="s">
        <v>40</v>
      </c>
      <c r="J962" s="22" t="s">
        <v>32</v>
      </c>
      <c r="K962" s="10" t="str">
        <f ca="1">DATEDIF('DATA PENDUDUK'!$G962,TODAY(),"Y")&amp; " TAHUN"</f>
        <v>22 TAHUN</v>
      </c>
      <c r="L962" s="24" t="s">
        <v>2114</v>
      </c>
    </row>
    <row r="963" spans="1:12" ht="20.100000000000001" customHeight="1" x14ac:dyDescent="0.25">
      <c r="A963" s="8">
        <f t="shared" si="14"/>
        <v>960</v>
      </c>
      <c r="B963" s="21" t="s">
        <v>2345</v>
      </c>
      <c r="C963" s="21" t="s">
        <v>2353</v>
      </c>
      <c r="D963" s="22" t="s">
        <v>2354</v>
      </c>
      <c r="E963" s="22" t="s">
        <v>1306</v>
      </c>
      <c r="F963" s="22" t="s">
        <v>2355</v>
      </c>
      <c r="G963" s="23">
        <v>41248</v>
      </c>
      <c r="H963" s="22" t="s">
        <v>35</v>
      </c>
      <c r="I963" s="22" t="s">
        <v>31</v>
      </c>
      <c r="J963" s="22" t="s">
        <v>32</v>
      </c>
      <c r="K963" s="10" t="str">
        <f ca="1">DATEDIF('DATA PENDUDUK'!$G963,TODAY(),"Y")&amp; " TAHUN"</f>
        <v>12 TAHUN</v>
      </c>
      <c r="L963" s="24" t="s">
        <v>2114</v>
      </c>
    </row>
    <row r="964" spans="1:12" ht="20.100000000000001" customHeight="1" x14ac:dyDescent="0.25">
      <c r="A964" s="8">
        <f t="shared" si="14"/>
        <v>961</v>
      </c>
      <c r="B964" s="21" t="s">
        <v>2345</v>
      </c>
      <c r="C964" s="21" t="s">
        <v>2356</v>
      </c>
      <c r="D964" s="22" t="s">
        <v>2357</v>
      </c>
      <c r="E964" s="22" t="s">
        <v>671</v>
      </c>
      <c r="F964" s="22" t="s">
        <v>2355</v>
      </c>
      <c r="G964" s="23">
        <v>42867</v>
      </c>
      <c r="H964" s="22" t="s">
        <v>35</v>
      </c>
      <c r="I964" s="22" t="s">
        <v>31</v>
      </c>
      <c r="J964" s="22" t="s">
        <v>32</v>
      </c>
      <c r="K964" s="10" t="str">
        <f ca="1">DATEDIF('DATA PENDUDUK'!$G964,TODAY(),"Y")&amp; " TAHUN"</f>
        <v>8 TAHUN</v>
      </c>
      <c r="L964" s="24" t="s">
        <v>2114</v>
      </c>
    </row>
    <row r="965" spans="1:12" ht="20.100000000000001" customHeight="1" x14ac:dyDescent="0.25">
      <c r="A965" s="8">
        <f t="shared" si="14"/>
        <v>962</v>
      </c>
      <c r="B965" s="21" t="s">
        <v>2345</v>
      </c>
      <c r="C965" s="21" t="s">
        <v>2358</v>
      </c>
      <c r="D965" s="22" t="s">
        <v>2359</v>
      </c>
      <c r="E965" s="22" t="s">
        <v>1306</v>
      </c>
      <c r="F965" s="22" t="s">
        <v>400</v>
      </c>
      <c r="G965" s="23">
        <v>33436</v>
      </c>
      <c r="H965" s="22" t="s">
        <v>35</v>
      </c>
      <c r="I965" s="22" t="s">
        <v>19</v>
      </c>
      <c r="J965" s="22" t="s">
        <v>37</v>
      </c>
      <c r="K965" s="10" t="str">
        <f ca="1">DATEDIF('DATA PENDUDUK'!$G965,TODAY(),"Y")&amp; " TAHUN"</f>
        <v>34 TAHUN</v>
      </c>
      <c r="L965" s="24" t="s">
        <v>2114</v>
      </c>
    </row>
    <row r="966" spans="1:12" ht="20.100000000000001" customHeight="1" x14ac:dyDescent="0.25">
      <c r="A966" s="8">
        <f t="shared" ref="A966:A1029" si="15">IF(D966="","",ROW()-3)</f>
        <v>963</v>
      </c>
      <c r="B966" s="21" t="s">
        <v>2345</v>
      </c>
      <c r="C966" s="21" t="s">
        <v>2360</v>
      </c>
      <c r="D966" s="22" t="s">
        <v>2361</v>
      </c>
      <c r="E966" s="22" t="s">
        <v>671</v>
      </c>
      <c r="F966" s="22" t="s">
        <v>400</v>
      </c>
      <c r="G966" s="23">
        <v>36348</v>
      </c>
      <c r="H966" s="22" t="s">
        <v>35</v>
      </c>
      <c r="I966" s="22" t="s">
        <v>40</v>
      </c>
      <c r="J966" s="22" t="s">
        <v>37</v>
      </c>
      <c r="K966" s="10" t="str">
        <f ca="1">DATEDIF('DATA PENDUDUK'!$G966,TODAY(),"Y")&amp; " TAHUN"</f>
        <v>26 TAHUN</v>
      </c>
      <c r="L966" s="24" t="s">
        <v>2114</v>
      </c>
    </row>
    <row r="967" spans="1:12" ht="20.100000000000001" customHeight="1" x14ac:dyDescent="0.25">
      <c r="A967" s="8">
        <f t="shared" si="15"/>
        <v>964</v>
      </c>
      <c r="B967" s="21" t="s">
        <v>2345</v>
      </c>
      <c r="C967" s="21" t="s">
        <v>2362</v>
      </c>
      <c r="D967" s="22" t="s">
        <v>2363</v>
      </c>
      <c r="E967" s="22" t="s">
        <v>671</v>
      </c>
      <c r="F967" s="22" t="s">
        <v>30</v>
      </c>
      <c r="G967" s="23">
        <v>37695</v>
      </c>
      <c r="H967" s="22" t="s">
        <v>35</v>
      </c>
      <c r="I967" s="22" t="s">
        <v>40</v>
      </c>
      <c r="J967" s="22" t="s">
        <v>37</v>
      </c>
      <c r="K967" s="10" t="str">
        <f ca="1">DATEDIF('DATA PENDUDUK'!$G967,TODAY(),"Y")&amp; " TAHUN"</f>
        <v>22 TAHUN</v>
      </c>
      <c r="L967" s="24" t="s">
        <v>2114</v>
      </c>
    </row>
    <row r="968" spans="1:12" ht="20.100000000000001" customHeight="1" x14ac:dyDescent="0.25">
      <c r="A968" s="8">
        <f t="shared" si="15"/>
        <v>965</v>
      </c>
      <c r="B968" s="21" t="s">
        <v>2364</v>
      </c>
      <c r="C968" s="21" t="s">
        <v>2365</v>
      </c>
      <c r="D968" s="22" t="s">
        <v>2366</v>
      </c>
      <c r="E968" s="22" t="s">
        <v>1306</v>
      </c>
      <c r="F968" s="22" t="s">
        <v>118</v>
      </c>
      <c r="G968" s="23">
        <v>26877</v>
      </c>
      <c r="H968" s="22" t="s">
        <v>35</v>
      </c>
      <c r="I968" s="22" t="s">
        <v>26</v>
      </c>
      <c r="J968" s="22" t="s">
        <v>20</v>
      </c>
      <c r="K968" s="10" t="str">
        <f ca="1">DATEDIF('DATA PENDUDUK'!$G968,TODAY(),"Y")&amp; " TAHUN"</f>
        <v>51 TAHUN</v>
      </c>
      <c r="L968" s="24" t="s">
        <v>2114</v>
      </c>
    </row>
    <row r="969" spans="1:12" ht="20.100000000000001" customHeight="1" x14ac:dyDescent="0.25">
      <c r="A969" s="8">
        <f t="shared" si="15"/>
        <v>966</v>
      </c>
      <c r="B969" s="21" t="s">
        <v>2364</v>
      </c>
      <c r="C969" s="21" t="s">
        <v>2367</v>
      </c>
      <c r="D969" s="22" t="s">
        <v>2368</v>
      </c>
      <c r="E969" s="22" t="s">
        <v>1306</v>
      </c>
      <c r="F969" s="22" t="s">
        <v>30</v>
      </c>
      <c r="G969" s="23">
        <v>40695</v>
      </c>
      <c r="H969" s="22" t="s">
        <v>35</v>
      </c>
      <c r="I969" s="22" t="s">
        <v>31</v>
      </c>
      <c r="J969" s="22" t="s">
        <v>32</v>
      </c>
      <c r="K969" s="10" t="str">
        <f ca="1">DATEDIF('DATA PENDUDUK'!$G969,TODAY(),"Y")&amp; " TAHUN"</f>
        <v>14 TAHUN</v>
      </c>
      <c r="L969" s="24" t="s">
        <v>2114</v>
      </c>
    </row>
    <row r="970" spans="1:12" ht="20.100000000000001" customHeight="1" x14ac:dyDescent="0.25">
      <c r="A970" s="8">
        <f t="shared" si="15"/>
        <v>967</v>
      </c>
      <c r="B970" s="21" t="s">
        <v>2369</v>
      </c>
      <c r="C970" s="21" t="s">
        <v>2370</v>
      </c>
      <c r="D970" s="22" t="s">
        <v>2371</v>
      </c>
      <c r="E970" s="22" t="s">
        <v>1306</v>
      </c>
      <c r="F970" s="22" t="s">
        <v>290</v>
      </c>
      <c r="G970" s="23">
        <v>22226</v>
      </c>
      <c r="H970" s="22" t="s">
        <v>35</v>
      </c>
      <c r="I970" s="22" t="s">
        <v>26</v>
      </c>
      <c r="J970" s="22" t="s">
        <v>20</v>
      </c>
      <c r="K970" s="10" t="str">
        <f ca="1">DATEDIF('DATA PENDUDUK'!$G970,TODAY(),"Y")&amp; " TAHUN"</f>
        <v>64 TAHUN</v>
      </c>
      <c r="L970" s="24" t="s">
        <v>2114</v>
      </c>
    </row>
    <row r="971" spans="1:12" ht="20.100000000000001" customHeight="1" x14ac:dyDescent="0.25">
      <c r="A971" s="8">
        <f t="shared" si="15"/>
        <v>968</v>
      </c>
      <c r="B971" s="21" t="s">
        <v>2369</v>
      </c>
      <c r="C971" s="21" t="s">
        <v>2372</v>
      </c>
      <c r="D971" s="22" t="s">
        <v>2373</v>
      </c>
      <c r="E971" s="22" t="s">
        <v>671</v>
      </c>
      <c r="F971" s="22" t="s">
        <v>290</v>
      </c>
      <c r="G971" s="23">
        <v>31719</v>
      </c>
      <c r="H971" s="22" t="s">
        <v>35</v>
      </c>
      <c r="I971" s="22" t="s">
        <v>19</v>
      </c>
      <c r="J971" s="22" t="s">
        <v>32</v>
      </c>
      <c r="K971" s="10" t="str">
        <f ca="1">DATEDIF('DATA PENDUDUK'!$G971,TODAY(),"Y")&amp; " TAHUN"</f>
        <v>38 TAHUN</v>
      </c>
      <c r="L971" s="24" t="s">
        <v>2114</v>
      </c>
    </row>
    <row r="972" spans="1:12" ht="20.100000000000001" customHeight="1" x14ac:dyDescent="0.25">
      <c r="A972" s="8">
        <f t="shared" si="15"/>
        <v>969</v>
      </c>
      <c r="B972" s="21" t="s">
        <v>2369</v>
      </c>
      <c r="C972" s="21" t="s">
        <v>2374</v>
      </c>
      <c r="D972" s="22" t="s">
        <v>2375</v>
      </c>
      <c r="E972" s="22" t="s">
        <v>671</v>
      </c>
      <c r="F972" s="22" t="s">
        <v>30</v>
      </c>
      <c r="G972" s="23">
        <v>37233</v>
      </c>
      <c r="H972" s="22" t="s">
        <v>35</v>
      </c>
      <c r="I972" s="22" t="s">
        <v>40</v>
      </c>
      <c r="J972" s="22" t="s">
        <v>32</v>
      </c>
      <c r="K972" s="10" t="str">
        <f ca="1">DATEDIF('DATA PENDUDUK'!$G972,TODAY(),"Y")&amp; " TAHUN"</f>
        <v>23 TAHUN</v>
      </c>
      <c r="L972" s="24" t="s">
        <v>2114</v>
      </c>
    </row>
    <row r="973" spans="1:12" ht="20.100000000000001" customHeight="1" x14ac:dyDescent="0.25">
      <c r="A973" s="8">
        <f t="shared" si="15"/>
        <v>970</v>
      </c>
      <c r="B973" s="21" t="s">
        <v>2376</v>
      </c>
      <c r="C973" s="21" t="s">
        <v>2377</v>
      </c>
      <c r="D973" s="22" t="s">
        <v>2378</v>
      </c>
      <c r="E973" s="22" t="s">
        <v>671</v>
      </c>
      <c r="F973" s="22" t="s">
        <v>118</v>
      </c>
      <c r="G973" s="23">
        <v>22196</v>
      </c>
      <c r="H973" s="22" t="s">
        <v>35</v>
      </c>
      <c r="I973" s="22" t="s">
        <v>19</v>
      </c>
      <c r="J973" s="22" t="s">
        <v>20</v>
      </c>
      <c r="K973" s="10" t="str">
        <f ca="1">DATEDIF('DATA PENDUDUK'!$G973,TODAY(),"Y")&amp; " TAHUN"</f>
        <v>64 TAHUN</v>
      </c>
      <c r="L973" s="24" t="s">
        <v>2114</v>
      </c>
    </row>
    <row r="974" spans="1:12" ht="20.100000000000001" customHeight="1" x14ac:dyDescent="0.25">
      <c r="A974" s="8">
        <f t="shared" si="15"/>
        <v>971</v>
      </c>
      <c r="B974" s="21" t="s">
        <v>2376</v>
      </c>
      <c r="C974" s="21" t="s">
        <v>2379</v>
      </c>
      <c r="D974" s="22" t="s">
        <v>2380</v>
      </c>
      <c r="E974" s="22" t="s">
        <v>1306</v>
      </c>
      <c r="F974" s="22" t="s">
        <v>118</v>
      </c>
      <c r="G974" s="23">
        <v>25329</v>
      </c>
      <c r="H974" s="22" t="s">
        <v>35</v>
      </c>
      <c r="I974" s="22" t="s">
        <v>26</v>
      </c>
      <c r="J974" s="22" t="s">
        <v>27</v>
      </c>
      <c r="K974" s="10" t="str">
        <f ca="1">DATEDIF('DATA PENDUDUK'!$G974,TODAY(),"Y")&amp; " TAHUN"</f>
        <v>56 TAHUN</v>
      </c>
      <c r="L974" s="24" t="s">
        <v>2114</v>
      </c>
    </row>
    <row r="975" spans="1:12" ht="20.100000000000001" customHeight="1" x14ac:dyDescent="0.25">
      <c r="A975" s="8">
        <f t="shared" si="15"/>
        <v>972</v>
      </c>
      <c r="B975" s="21" t="s">
        <v>2376</v>
      </c>
      <c r="C975" s="21" t="s">
        <v>2381</v>
      </c>
      <c r="D975" s="22" t="s">
        <v>2382</v>
      </c>
      <c r="E975" s="22" t="s">
        <v>671</v>
      </c>
      <c r="F975" s="22" t="s">
        <v>262</v>
      </c>
      <c r="G975" s="23">
        <v>35459</v>
      </c>
      <c r="H975" s="22" t="s">
        <v>35</v>
      </c>
      <c r="I975" s="22" t="s">
        <v>73</v>
      </c>
      <c r="J975" s="22" t="s">
        <v>32</v>
      </c>
      <c r="K975" s="10" t="str">
        <f ca="1">DATEDIF('DATA PENDUDUK'!$G975,TODAY(),"Y")&amp; " TAHUN"</f>
        <v>28 TAHUN</v>
      </c>
      <c r="L975" s="24" t="s">
        <v>2114</v>
      </c>
    </row>
    <row r="976" spans="1:12" ht="20.100000000000001" customHeight="1" x14ac:dyDescent="0.25">
      <c r="A976" s="8">
        <f t="shared" si="15"/>
        <v>973</v>
      </c>
      <c r="B976" s="21" t="s">
        <v>2376</v>
      </c>
      <c r="C976" s="21" t="s">
        <v>2383</v>
      </c>
      <c r="D976" s="22" t="s">
        <v>2384</v>
      </c>
      <c r="E976" s="22" t="s">
        <v>1306</v>
      </c>
      <c r="F976" s="22" t="s">
        <v>30</v>
      </c>
      <c r="G976" s="23">
        <v>38908</v>
      </c>
      <c r="H976" s="22" t="s">
        <v>35</v>
      </c>
      <c r="I976" s="22" t="s">
        <v>31</v>
      </c>
      <c r="J976" s="22" t="s">
        <v>32</v>
      </c>
      <c r="K976" s="10" t="str">
        <f ca="1">DATEDIF('DATA PENDUDUK'!$G976,TODAY(),"Y")&amp; " TAHUN"</f>
        <v>19 TAHUN</v>
      </c>
      <c r="L976" s="24" t="s">
        <v>2114</v>
      </c>
    </row>
    <row r="977" spans="1:12" ht="20.100000000000001" customHeight="1" x14ac:dyDescent="0.25">
      <c r="A977" s="8">
        <f t="shared" si="15"/>
        <v>974</v>
      </c>
      <c r="B977" s="21" t="s">
        <v>2376</v>
      </c>
      <c r="C977" s="21" t="s">
        <v>2385</v>
      </c>
      <c r="D977" s="22" t="s">
        <v>2386</v>
      </c>
      <c r="E977" s="22" t="s">
        <v>671</v>
      </c>
      <c r="F977" s="22" t="s">
        <v>30</v>
      </c>
      <c r="G977" s="23">
        <v>39501</v>
      </c>
      <c r="H977" s="22" t="s">
        <v>35</v>
      </c>
      <c r="I977" s="22" t="s">
        <v>31</v>
      </c>
      <c r="J977" s="22" t="s">
        <v>32</v>
      </c>
      <c r="K977" s="10" t="str">
        <f ca="1">DATEDIF('DATA PENDUDUK'!$G977,TODAY(),"Y")&amp; " TAHUN"</f>
        <v>17 TAHUN</v>
      </c>
      <c r="L977" s="24" t="s">
        <v>2114</v>
      </c>
    </row>
    <row r="978" spans="1:12" ht="20.100000000000001" customHeight="1" x14ac:dyDescent="0.25">
      <c r="A978" s="8">
        <f t="shared" si="15"/>
        <v>975</v>
      </c>
      <c r="B978" s="21" t="s">
        <v>2387</v>
      </c>
      <c r="C978" s="21" t="s">
        <v>2388</v>
      </c>
      <c r="D978" s="22" t="s">
        <v>661</v>
      </c>
      <c r="E978" s="22" t="s">
        <v>1306</v>
      </c>
      <c r="F978" s="22" t="s">
        <v>87</v>
      </c>
      <c r="G978" s="23">
        <v>31393</v>
      </c>
      <c r="H978" s="22" t="s">
        <v>35</v>
      </c>
      <c r="I978" s="22" t="s">
        <v>150</v>
      </c>
      <c r="J978" s="22" t="s">
        <v>20</v>
      </c>
      <c r="K978" s="10" t="str">
        <f ca="1">DATEDIF('DATA PENDUDUK'!$G978,TODAY(),"Y")&amp; " TAHUN"</f>
        <v>39 TAHUN</v>
      </c>
      <c r="L978" s="24" t="s">
        <v>2114</v>
      </c>
    </row>
    <row r="979" spans="1:12" ht="20.100000000000001" customHeight="1" x14ac:dyDescent="0.25">
      <c r="A979" s="8">
        <f t="shared" si="15"/>
        <v>976</v>
      </c>
      <c r="B979" s="21" t="s">
        <v>2387</v>
      </c>
      <c r="C979" s="21" t="s">
        <v>2389</v>
      </c>
      <c r="D979" s="22" t="s">
        <v>2390</v>
      </c>
      <c r="E979" s="22" t="s">
        <v>1306</v>
      </c>
      <c r="F979" s="22" t="s">
        <v>30</v>
      </c>
      <c r="G979" s="23">
        <v>35876</v>
      </c>
      <c r="H979" s="22" t="s">
        <v>35</v>
      </c>
      <c r="I979" s="22" t="s">
        <v>40</v>
      </c>
      <c r="J979" s="22" t="s">
        <v>32</v>
      </c>
      <c r="K979" s="10" t="str">
        <f ca="1">DATEDIF('DATA PENDUDUK'!$G979,TODAY(),"Y")&amp; " TAHUN"</f>
        <v>27 TAHUN</v>
      </c>
      <c r="L979" s="24" t="s">
        <v>2114</v>
      </c>
    </row>
    <row r="980" spans="1:12" ht="20.100000000000001" customHeight="1" x14ac:dyDescent="0.25">
      <c r="A980" s="8">
        <f t="shared" si="15"/>
        <v>977</v>
      </c>
      <c r="B980" s="21" t="s">
        <v>2391</v>
      </c>
      <c r="C980" s="21" t="s">
        <v>2392</v>
      </c>
      <c r="D980" s="22" t="s">
        <v>2393</v>
      </c>
      <c r="E980" s="22" t="s">
        <v>671</v>
      </c>
      <c r="F980" s="22" t="s">
        <v>2394</v>
      </c>
      <c r="G980" s="23">
        <v>28474</v>
      </c>
      <c r="H980" s="22" t="s">
        <v>35</v>
      </c>
      <c r="I980" s="22" t="s">
        <v>19</v>
      </c>
      <c r="J980" s="22" t="s">
        <v>20</v>
      </c>
      <c r="K980" s="10" t="str">
        <f ca="1">DATEDIF('DATA PENDUDUK'!$G980,TODAY(),"Y")&amp; " TAHUN"</f>
        <v>47 TAHUN</v>
      </c>
      <c r="L980" s="24" t="s">
        <v>2114</v>
      </c>
    </row>
    <row r="981" spans="1:12" ht="20.100000000000001" customHeight="1" x14ac:dyDescent="0.25">
      <c r="A981" s="8">
        <f t="shared" si="15"/>
        <v>978</v>
      </c>
      <c r="B981" s="21" t="s">
        <v>2391</v>
      </c>
      <c r="C981" s="21" t="s">
        <v>2395</v>
      </c>
      <c r="D981" s="22" t="s">
        <v>2396</v>
      </c>
      <c r="E981" s="22" t="s">
        <v>1306</v>
      </c>
      <c r="F981" s="22" t="s">
        <v>68</v>
      </c>
      <c r="G981" s="23">
        <v>28687</v>
      </c>
      <c r="H981" s="22" t="s">
        <v>35</v>
      </c>
      <c r="I981" s="22" t="s">
        <v>19</v>
      </c>
      <c r="J981" s="22" t="s">
        <v>27</v>
      </c>
      <c r="K981" s="10" t="str">
        <f ca="1">DATEDIF('DATA PENDUDUK'!$G981,TODAY(),"Y")&amp; " TAHUN"</f>
        <v>47 TAHUN</v>
      </c>
      <c r="L981" s="24" t="s">
        <v>2114</v>
      </c>
    </row>
    <row r="982" spans="1:12" ht="20.100000000000001" customHeight="1" x14ac:dyDescent="0.25">
      <c r="A982" s="8">
        <f t="shared" si="15"/>
        <v>979</v>
      </c>
      <c r="B982" s="21" t="s">
        <v>2397</v>
      </c>
      <c r="C982" s="21" t="s">
        <v>2398</v>
      </c>
      <c r="D982" s="22" t="s">
        <v>2399</v>
      </c>
      <c r="E982" s="22" t="s">
        <v>671</v>
      </c>
      <c r="F982" s="22" t="s">
        <v>110</v>
      </c>
      <c r="G982" s="23">
        <v>27430</v>
      </c>
      <c r="H982" s="22" t="s">
        <v>35</v>
      </c>
      <c r="I982" s="22" t="s">
        <v>2400</v>
      </c>
      <c r="J982" s="22" t="s">
        <v>20</v>
      </c>
      <c r="K982" s="10" t="str">
        <f ca="1">DATEDIF('DATA PENDUDUK'!$G982,TODAY(),"Y")&amp; " TAHUN"</f>
        <v>50 TAHUN</v>
      </c>
      <c r="L982" s="24" t="s">
        <v>2114</v>
      </c>
    </row>
    <row r="983" spans="1:12" ht="20.100000000000001" customHeight="1" x14ac:dyDescent="0.25">
      <c r="A983" s="8">
        <f t="shared" si="15"/>
        <v>980</v>
      </c>
      <c r="B983" s="21" t="s">
        <v>2397</v>
      </c>
      <c r="C983" s="21" t="s">
        <v>2401</v>
      </c>
      <c r="D983" s="22" t="s">
        <v>2402</v>
      </c>
      <c r="E983" s="22" t="s">
        <v>1306</v>
      </c>
      <c r="F983" s="22" t="s">
        <v>290</v>
      </c>
      <c r="G983" s="23">
        <v>27375</v>
      </c>
      <c r="H983" s="22" t="s">
        <v>35</v>
      </c>
      <c r="I983" s="22" t="s">
        <v>26</v>
      </c>
      <c r="J983" s="22" t="s">
        <v>27</v>
      </c>
      <c r="K983" s="10" t="str">
        <f ca="1">DATEDIF('DATA PENDUDUK'!$G983,TODAY(),"Y")&amp; " TAHUN"</f>
        <v>50 TAHUN</v>
      </c>
      <c r="L983" s="24" t="s">
        <v>2114</v>
      </c>
    </row>
    <row r="984" spans="1:12" ht="20.100000000000001" customHeight="1" x14ac:dyDescent="0.25">
      <c r="A984" s="8">
        <f t="shared" si="15"/>
        <v>981</v>
      </c>
      <c r="B984" s="21" t="s">
        <v>2403</v>
      </c>
      <c r="C984" s="21" t="s">
        <v>2404</v>
      </c>
      <c r="D984" s="22" t="s">
        <v>2405</v>
      </c>
      <c r="E984" s="22" t="s">
        <v>671</v>
      </c>
      <c r="F984" s="22" t="s">
        <v>2335</v>
      </c>
      <c r="G984" s="23">
        <v>28924</v>
      </c>
      <c r="H984" s="22" t="s">
        <v>35</v>
      </c>
      <c r="I984" s="22" t="s">
        <v>19</v>
      </c>
      <c r="J984" s="22" t="s">
        <v>20</v>
      </c>
      <c r="K984" s="10" t="str">
        <f ca="1">DATEDIF('DATA PENDUDUK'!$G984,TODAY(),"Y")&amp; " TAHUN"</f>
        <v>46 TAHUN</v>
      </c>
      <c r="L984" s="24" t="s">
        <v>2114</v>
      </c>
    </row>
    <row r="985" spans="1:12" ht="20.100000000000001" customHeight="1" x14ac:dyDescent="0.25">
      <c r="A985" s="8">
        <f t="shared" si="15"/>
        <v>982</v>
      </c>
      <c r="B985" s="21" t="s">
        <v>2403</v>
      </c>
      <c r="C985" s="21" t="s">
        <v>2406</v>
      </c>
      <c r="D985" s="22" t="s">
        <v>2407</v>
      </c>
      <c r="E985" s="22" t="s">
        <v>1306</v>
      </c>
      <c r="F985" s="22" t="s">
        <v>46</v>
      </c>
      <c r="G985" s="23">
        <v>30000</v>
      </c>
      <c r="H985" s="22" t="s">
        <v>35</v>
      </c>
      <c r="I985" s="22" t="s">
        <v>19</v>
      </c>
      <c r="J985" s="22" t="s">
        <v>27</v>
      </c>
      <c r="K985" s="10" t="str">
        <f ca="1">DATEDIF('DATA PENDUDUK'!$G985,TODAY(),"Y")&amp; " TAHUN"</f>
        <v>43 TAHUN</v>
      </c>
      <c r="L985" s="24" t="s">
        <v>2114</v>
      </c>
    </row>
    <row r="986" spans="1:12" ht="20.100000000000001" customHeight="1" x14ac:dyDescent="0.25">
      <c r="A986" s="8">
        <f t="shared" si="15"/>
        <v>983</v>
      </c>
      <c r="B986" s="21" t="s">
        <v>2403</v>
      </c>
      <c r="C986" s="21" t="s">
        <v>2408</v>
      </c>
      <c r="D986" s="22" t="s">
        <v>2409</v>
      </c>
      <c r="E986" s="22" t="s">
        <v>1306</v>
      </c>
      <c r="F986" s="22" t="s">
        <v>30</v>
      </c>
      <c r="G986" s="23">
        <v>38014</v>
      </c>
      <c r="H986" s="22" t="s">
        <v>35</v>
      </c>
      <c r="I986" s="22" t="s">
        <v>40</v>
      </c>
      <c r="J986" s="22" t="s">
        <v>32</v>
      </c>
      <c r="K986" s="10" t="str">
        <f ca="1">DATEDIF('DATA PENDUDUK'!$G986,TODAY(),"Y")&amp; " TAHUN"</f>
        <v>21 TAHUN</v>
      </c>
      <c r="L986" s="24" t="s">
        <v>2114</v>
      </c>
    </row>
    <row r="987" spans="1:12" ht="20.100000000000001" customHeight="1" x14ac:dyDescent="0.25">
      <c r="A987" s="8">
        <f t="shared" si="15"/>
        <v>984</v>
      </c>
      <c r="B987" s="21" t="s">
        <v>2403</v>
      </c>
      <c r="C987" s="21" t="s">
        <v>2410</v>
      </c>
      <c r="D987" s="22" t="s">
        <v>2411</v>
      </c>
      <c r="E987" s="22" t="s">
        <v>1306</v>
      </c>
      <c r="F987" s="22" t="s">
        <v>30</v>
      </c>
      <c r="G987" s="23">
        <v>41257</v>
      </c>
      <c r="H987" s="22" t="s">
        <v>35</v>
      </c>
      <c r="I987" s="22" t="s">
        <v>31</v>
      </c>
      <c r="J987" s="22" t="s">
        <v>32</v>
      </c>
      <c r="K987" s="10" t="str">
        <f ca="1">DATEDIF('DATA PENDUDUK'!$G987,TODAY(),"Y")&amp; " TAHUN"</f>
        <v>12 TAHUN</v>
      </c>
      <c r="L987" s="24" t="s">
        <v>2114</v>
      </c>
    </row>
    <row r="988" spans="1:12" ht="20.100000000000001" customHeight="1" x14ac:dyDescent="0.25">
      <c r="A988" s="8">
        <f t="shared" si="15"/>
        <v>985</v>
      </c>
      <c r="B988" s="21" t="s">
        <v>2412</v>
      </c>
      <c r="C988" s="21" t="s">
        <v>2413</v>
      </c>
      <c r="D988" s="22" t="s">
        <v>2414</v>
      </c>
      <c r="E988" s="22" t="s">
        <v>671</v>
      </c>
      <c r="F988" s="22" t="s">
        <v>46</v>
      </c>
      <c r="G988" s="23">
        <v>24066</v>
      </c>
      <c r="H988" s="22" t="s">
        <v>35</v>
      </c>
      <c r="I988" s="22" t="s">
        <v>19</v>
      </c>
      <c r="J988" s="22" t="s">
        <v>20</v>
      </c>
      <c r="K988" s="10" t="str">
        <f ca="1">DATEDIF('DATA PENDUDUK'!$G988,TODAY(),"Y")&amp; " TAHUN"</f>
        <v>59 TAHUN</v>
      </c>
      <c r="L988" s="24" t="s">
        <v>2114</v>
      </c>
    </row>
    <row r="989" spans="1:12" ht="20.100000000000001" customHeight="1" x14ac:dyDescent="0.25">
      <c r="A989" s="8">
        <f t="shared" si="15"/>
        <v>986</v>
      </c>
      <c r="B989" s="21" t="s">
        <v>2412</v>
      </c>
      <c r="C989" s="21" t="s">
        <v>2415</v>
      </c>
      <c r="D989" s="22" t="s">
        <v>2416</v>
      </c>
      <c r="E989" s="22" t="s">
        <v>1306</v>
      </c>
      <c r="F989" s="22" t="s">
        <v>46</v>
      </c>
      <c r="G989" s="23">
        <v>23342</v>
      </c>
      <c r="H989" s="22" t="s">
        <v>35</v>
      </c>
      <c r="I989" s="22" t="s">
        <v>26</v>
      </c>
      <c r="J989" s="22" t="s">
        <v>27</v>
      </c>
      <c r="K989" s="10" t="str">
        <f ca="1">DATEDIF('DATA PENDUDUK'!$G989,TODAY(),"Y")&amp; " TAHUN"</f>
        <v>61 TAHUN</v>
      </c>
      <c r="L989" s="24" t="s">
        <v>2114</v>
      </c>
    </row>
    <row r="990" spans="1:12" ht="20.100000000000001" customHeight="1" x14ac:dyDescent="0.25">
      <c r="A990" s="8">
        <f t="shared" si="15"/>
        <v>987</v>
      </c>
      <c r="B990" s="21" t="s">
        <v>2412</v>
      </c>
      <c r="C990" s="21" t="s">
        <v>2417</v>
      </c>
      <c r="D990" s="22" t="s">
        <v>2418</v>
      </c>
      <c r="E990" s="22" t="s">
        <v>671</v>
      </c>
      <c r="F990" s="22" t="s">
        <v>2419</v>
      </c>
      <c r="G990" s="23">
        <v>30643</v>
      </c>
      <c r="H990" s="22" t="s">
        <v>35</v>
      </c>
      <c r="I990" s="22" t="s">
        <v>19</v>
      </c>
      <c r="J990" s="22" t="s">
        <v>32</v>
      </c>
      <c r="K990" s="10" t="str">
        <f ca="1">DATEDIF('DATA PENDUDUK'!$G990,TODAY(),"Y")&amp; " TAHUN"</f>
        <v>41 TAHUN</v>
      </c>
      <c r="L990" s="24" t="s">
        <v>2114</v>
      </c>
    </row>
    <row r="991" spans="1:12" ht="20.100000000000001" customHeight="1" x14ac:dyDescent="0.25">
      <c r="A991" s="8">
        <f t="shared" si="15"/>
        <v>988</v>
      </c>
      <c r="B991" s="21" t="s">
        <v>2420</v>
      </c>
      <c r="C991" s="21" t="s">
        <v>2421</v>
      </c>
      <c r="D991" s="22" t="s">
        <v>2422</v>
      </c>
      <c r="E991" s="22" t="s">
        <v>671</v>
      </c>
      <c r="F991" s="22" t="s">
        <v>2256</v>
      </c>
      <c r="G991" s="23">
        <v>28707</v>
      </c>
      <c r="H991" s="22" t="s">
        <v>35</v>
      </c>
      <c r="I991" s="22" t="s">
        <v>19</v>
      </c>
      <c r="J991" s="22" t="s">
        <v>20</v>
      </c>
      <c r="K991" s="10" t="str">
        <f ca="1">DATEDIF('DATA PENDUDUK'!$G991,TODAY(),"Y")&amp; " TAHUN"</f>
        <v>46 TAHUN</v>
      </c>
      <c r="L991" s="24" t="s">
        <v>2114</v>
      </c>
    </row>
    <row r="992" spans="1:12" ht="20.100000000000001" customHeight="1" x14ac:dyDescent="0.25">
      <c r="A992" s="8">
        <f t="shared" si="15"/>
        <v>989</v>
      </c>
      <c r="B992" s="21" t="s">
        <v>2420</v>
      </c>
      <c r="C992" s="21" t="s">
        <v>2423</v>
      </c>
      <c r="D992" s="22" t="s">
        <v>2424</v>
      </c>
      <c r="E992" s="22" t="s">
        <v>1306</v>
      </c>
      <c r="F992" s="22" t="s">
        <v>46</v>
      </c>
      <c r="G992" s="23">
        <v>28240</v>
      </c>
      <c r="H992" s="22" t="s">
        <v>35</v>
      </c>
      <c r="I992" s="22" t="s">
        <v>26</v>
      </c>
      <c r="J992" s="22" t="s">
        <v>27</v>
      </c>
      <c r="K992" s="10" t="str">
        <f ca="1">DATEDIF('DATA PENDUDUK'!$G992,TODAY(),"Y")&amp; " TAHUN"</f>
        <v>48 TAHUN</v>
      </c>
      <c r="L992" s="24" t="s">
        <v>2114</v>
      </c>
    </row>
    <row r="993" spans="1:12" ht="20.100000000000001" customHeight="1" x14ac:dyDescent="0.25">
      <c r="A993" s="8">
        <f t="shared" si="15"/>
        <v>990</v>
      </c>
      <c r="B993" s="21" t="s">
        <v>2420</v>
      </c>
      <c r="C993" s="21" t="s">
        <v>2425</v>
      </c>
      <c r="D993" s="22" t="s">
        <v>2426</v>
      </c>
      <c r="E993" s="22" t="s">
        <v>1306</v>
      </c>
      <c r="F993" s="22" t="s">
        <v>30</v>
      </c>
      <c r="G993" s="23">
        <v>40342</v>
      </c>
      <c r="H993" s="22" t="s">
        <v>35</v>
      </c>
      <c r="I993" s="22" t="s">
        <v>31</v>
      </c>
      <c r="J993" s="22" t="s">
        <v>32</v>
      </c>
      <c r="K993" s="10" t="str">
        <f ca="1">DATEDIF('DATA PENDUDUK'!$G993,TODAY(),"Y")&amp; " TAHUN"</f>
        <v>15 TAHUN</v>
      </c>
      <c r="L993" s="24" t="s">
        <v>2114</v>
      </c>
    </row>
    <row r="994" spans="1:12" ht="20.100000000000001" customHeight="1" x14ac:dyDescent="0.25">
      <c r="A994" s="8">
        <f t="shared" si="15"/>
        <v>991</v>
      </c>
      <c r="B994" s="21" t="s">
        <v>2427</v>
      </c>
      <c r="C994" s="21" t="s">
        <v>2428</v>
      </c>
      <c r="D994" s="22" t="s">
        <v>2429</v>
      </c>
      <c r="E994" s="22" t="s">
        <v>1306</v>
      </c>
      <c r="F994" s="22" t="s">
        <v>672</v>
      </c>
      <c r="G994" s="23">
        <v>30912</v>
      </c>
      <c r="H994" s="22" t="s">
        <v>35</v>
      </c>
      <c r="I994" s="22" t="s">
        <v>19</v>
      </c>
      <c r="J994" s="22" t="s">
        <v>20</v>
      </c>
      <c r="K994" s="10" t="str">
        <f ca="1">DATEDIF('DATA PENDUDUK'!$G994,TODAY(),"Y")&amp; " TAHUN"</f>
        <v>40 TAHUN</v>
      </c>
      <c r="L994" s="24" t="s">
        <v>2114</v>
      </c>
    </row>
    <row r="995" spans="1:12" ht="20.100000000000001" customHeight="1" x14ac:dyDescent="0.25">
      <c r="A995" s="8">
        <f t="shared" si="15"/>
        <v>992</v>
      </c>
      <c r="B995" s="21" t="s">
        <v>2427</v>
      </c>
      <c r="C995" s="21" t="s">
        <v>2430</v>
      </c>
      <c r="D995" s="22" t="s">
        <v>2431</v>
      </c>
      <c r="E995" s="22" t="s">
        <v>1306</v>
      </c>
      <c r="F995" s="22" t="s">
        <v>30</v>
      </c>
      <c r="G995" s="23">
        <v>43529</v>
      </c>
      <c r="H995" s="22" t="s">
        <v>35</v>
      </c>
      <c r="I995" s="22" t="s">
        <v>40</v>
      </c>
      <c r="J995" s="22" t="s">
        <v>32</v>
      </c>
      <c r="K995" s="10" t="str">
        <f ca="1">DATEDIF('DATA PENDUDUK'!$G995,TODAY(),"Y")&amp; " TAHUN"</f>
        <v>6 TAHUN</v>
      </c>
      <c r="L995" s="24" t="s">
        <v>2114</v>
      </c>
    </row>
    <row r="996" spans="1:12" ht="20.100000000000001" customHeight="1" x14ac:dyDescent="0.25">
      <c r="A996" s="8">
        <f t="shared" si="15"/>
        <v>993</v>
      </c>
      <c r="B996" s="21" t="s">
        <v>2432</v>
      </c>
      <c r="C996" s="21" t="s">
        <v>2433</v>
      </c>
      <c r="D996" s="22" t="s">
        <v>2434</v>
      </c>
      <c r="E996" s="22" t="s">
        <v>671</v>
      </c>
      <c r="F996" s="22" t="s">
        <v>205</v>
      </c>
      <c r="G996" s="23">
        <v>26134</v>
      </c>
      <c r="H996" s="22" t="s">
        <v>35</v>
      </c>
      <c r="I996" s="22" t="s">
        <v>40</v>
      </c>
      <c r="J996" s="22" t="s">
        <v>20</v>
      </c>
      <c r="K996" s="10" t="str">
        <f ca="1">DATEDIF('DATA PENDUDUK'!$G996,TODAY(),"Y")&amp; " TAHUN"</f>
        <v>54 TAHUN</v>
      </c>
      <c r="L996" s="24" t="s">
        <v>2114</v>
      </c>
    </row>
    <row r="997" spans="1:12" ht="20.100000000000001" customHeight="1" x14ac:dyDescent="0.25">
      <c r="A997" s="8">
        <f t="shared" si="15"/>
        <v>994</v>
      </c>
      <c r="B997" s="21" t="s">
        <v>2432</v>
      </c>
      <c r="C997" s="21" t="s">
        <v>2435</v>
      </c>
      <c r="D997" s="22" t="s">
        <v>2436</v>
      </c>
      <c r="E997" s="22" t="s">
        <v>1306</v>
      </c>
      <c r="F997" s="22" t="s">
        <v>2437</v>
      </c>
      <c r="G997" s="23">
        <v>32074</v>
      </c>
      <c r="H997" s="22" t="s">
        <v>35</v>
      </c>
      <c r="I997" s="22" t="s">
        <v>26</v>
      </c>
      <c r="J997" s="22" t="s">
        <v>27</v>
      </c>
      <c r="K997" s="10" t="str">
        <f ca="1">DATEDIF('DATA PENDUDUK'!$G997,TODAY(),"Y")&amp; " TAHUN"</f>
        <v>37 TAHUN</v>
      </c>
      <c r="L997" s="24" t="s">
        <v>2114</v>
      </c>
    </row>
    <row r="998" spans="1:12" ht="20.100000000000001" customHeight="1" x14ac:dyDescent="0.25">
      <c r="A998" s="8">
        <f t="shared" si="15"/>
        <v>995</v>
      </c>
      <c r="B998" s="21" t="s">
        <v>2432</v>
      </c>
      <c r="C998" s="21" t="s">
        <v>2438</v>
      </c>
      <c r="D998" s="22" t="s">
        <v>2439</v>
      </c>
      <c r="E998" s="22" t="s">
        <v>671</v>
      </c>
      <c r="F998" s="22" t="s">
        <v>30</v>
      </c>
      <c r="G998" s="23">
        <v>37394</v>
      </c>
      <c r="H998" s="22" t="s">
        <v>35</v>
      </c>
      <c r="I998" s="22" t="s">
        <v>40</v>
      </c>
      <c r="J998" s="22" t="s">
        <v>32</v>
      </c>
      <c r="K998" s="10" t="str">
        <f ca="1">DATEDIF('DATA PENDUDUK'!$G998,TODAY(),"Y")&amp; " TAHUN"</f>
        <v>23 TAHUN</v>
      </c>
      <c r="L998" s="24" t="s">
        <v>2114</v>
      </c>
    </row>
    <row r="999" spans="1:12" ht="20.100000000000001" customHeight="1" x14ac:dyDescent="0.25">
      <c r="A999" s="8">
        <f t="shared" si="15"/>
        <v>996</v>
      </c>
      <c r="B999" s="21" t="s">
        <v>2432</v>
      </c>
      <c r="C999" s="21" t="s">
        <v>2440</v>
      </c>
      <c r="D999" s="22" t="s">
        <v>2441</v>
      </c>
      <c r="E999" s="22" t="s">
        <v>671</v>
      </c>
      <c r="F999" s="22" t="s">
        <v>30</v>
      </c>
      <c r="G999" s="23">
        <v>38667</v>
      </c>
      <c r="H999" s="22" t="s">
        <v>35</v>
      </c>
      <c r="I999" s="22" t="s">
        <v>31</v>
      </c>
      <c r="J999" s="22" t="s">
        <v>32</v>
      </c>
      <c r="K999" s="10" t="str">
        <f ca="1">DATEDIF('DATA PENDUDUK'!$G999,TODAY(),"Y")&amp; " TAHUN"</f>
        <v>19 TAHUN</v>
      </c>
      <c r="L999" s="24" t="s">
        <v>2114</v>
      </c>
    </row>
    <row r="1000" spans="1:12" ht="20.100000000000001" customHeight="1" x14ac:dyDescent="0.25">
      <c r="A1000" s="8">
        <f t="shared" si="15"/>
        <v>997</v>
      </c>
      <c r="B1000" s="21" t="s">
        <v>2432</v>
      </c>
      <c r="C1000" s="21" t="s">
        <v>2442</v>
      </c>
      <c r="D1000" s="22" t="s">
        <v>2443</v>
      </c>
      <c r="E1000" s="22" t="s">
        <v>1306</v>
      </c>
      <c r="F1000" s="22" t="s">
        <v>30</v>
      </c>
      <c r="G1000" s="23">
        <v>40095</v>
      </c>
      <c r="H1000" s="22" t="s">
        <v>35</v>
      </c>
      <c r="I1000" s="22" t="s">
        <v>31</v>
      </c>
      <c r="J1000" s="22" t="s">
        <v>32</v>
      </c>
      <c r="K1000" s="10" t="str">
        <f ca="1">DATEDIF('DATA PENDUDUK'!$G1000,TODAY(),"Y")&amp; " TAHUN"</f>
        <v>15 TAHUN</v>
      </c>
      <c r="L1000" s="24" t="s">
        <v>2114</v>
      </c>
    </row>
    <row r="1001" spans="1:12" ht="20.100000000000001" customHeight="1" x14ac:dyDescent="0.25">
      <c r="A1001" s="8">
        <f t="shared" si="15"/>
        <v>998</v>
      </c>
      <c r="B1001" s="21" t="s">
        <v>2432</v>
      </c>
      <c r="C1001" s="21" t="s">
        <v>2444</v>
      </c>
      <c r="D1001" s="22" t="s">
        <v>2445</v>
      </c>
      <c r="E1001" s="22" t="s">
        <v>671</v>
      </c>
      <c r="F1001" s="22" t="s">
        <v>30</v>
      </c>
      <c r="G1001" s="23">
        <v>41504</v>
      </c>
      <c r="H1001" s="22" t="s">
        <v>35</v>
      </c>
      <c r="I1001" s="22" t="s">
        <v>31</v>
      </c>
      <c r="J1001" s="22" t="s">
        <v>32</v>
      </c>
      <c r="K1001" s="10" t="str">
        <f ca="1">DATEDIF('DATA PENDUDUK'!$G1001,TODAY(),"Y")&amp; " TAHUN"</f>
        <v>11 TAHUN</v>
      </c>
      <c r="L1001" s="24" t="s">
        <v>2114</v>
      </c>
    </row>
    <row r="1002" spans="1:12" ht="20.100000000000001" customHeight="1" x14ac:dyDescent="0.25">
      <c r="A1002" s="8">
        <f t="shared" si="15"/>
        <v>999</v>
      </c>
      <c r="B1002" s="21" t="s">
        <v>2432</v>
      </c>
      <c r="C1002" s="21" t="s">
        <v>2446</v>
      </c>
      <c r="D1002" s="22" t="s">
        <v>2447</v>
      </c>
      <c r="E1002" s="22" t="s">
        <v>671</v>
      </c>
      <c r="F1002" s="22" t="s">
        <v>30</v>
      </c>
      <c r="G1002" s="23">
        <v>42897</v>
      </c>
      <c r="H1002" s="22" t="s">
        <v>35</v>
      </c>
      <c r="I1002" s="22" t="s">
        <v>31</v>
      </c>
      <c r="J1002" s="22" t="s">
        <v>32</v>
      </c>
      <c r="K1002" s="10" t="str">
        <f ca="1">DATEDIF('DATA PENDUDUK'!$G1002,TODAY(),"Y")&amp; " TAHUN"</f>
        <v>8 TAHUN</v>
      </c>
      <c r="L1002" s="24" t="s">
        <v>2114</v>
      </c>
    </row>
    <row r="1003" spans="1:12" ht="20.100000000000001" customHeight="1" x14ac:dyDescent="0.25">
      <c r="A1003" s="8">
        <f t="shared" si="15"/>
        <v>1000</v>
      </c>
      <c r="B1003" s="21" t="s">
        <v>2448</v>
      </c>
      <c r="C1003" s="21" t="s">
        <v>2449</v>
      </c>
      <c r="D1003" s="22" t="s">
        <v>2450</v>
      </c>
      <c r="E1003" s="22" t="s">
        <v>671</v>
      </c>
      <c r="F1003" s="22" t="s">
        <v>546</v>
      </c>
      <c r="G1003" s="23">
        <v>28383</v>
      </c>
      <c r="H1003" s="22" t="s">
        <v>35</v>
      </c>
      <c r="I1003" s="22" t="s">
        <v>19</v>
      </c>
      <c r="J1003" s="22" t="s">
        <v>20</v>
      </c>
      <c r="K1003" s="10" t="str">
        <f ca="1">DATEDIF('DATA PENDUDUK'!$G1003,TODAY(),"Y")&amp; " TAHUN"</f>
        <v>47 TAHUN</v>
      </c>
      <c r="L1003" s="24" t="s">
        <v>2114</v>
      </c>
    </row>
    <row r="1004" spans="1:12" ht="20.100000000000001" customHeight="1" x14ac:dyDescent="0.25">
      <c r="A1004" s="8">
        <f t="shared" si="15"/>
        <v>1001</v>
      </c>
      <c r="B1004" s="21" t="s">
        <v>2448</v>
      </c>
      <c r="C1004" s="21" t="s">
        <v>2451</v>
      </c>
      <c r="D1004" s="22" t="s">
        <v>2452</v>
      </c>
      <c r="E1004" s="22" t="s">
        <v>1306</v>
      </c>
      <c r="F1004" s="22" t="s">
        <v>2453</v>
      </c>
      <c r="G1004" s="23">
        <v>29567</v>
      </c>
      <c r="H1004" s="22" t="s">
        <v>35</v>
      </c>
      <c r="I1004" s="22" t="s">
        <v>26</v>
      </c>
      <c r="J1004" s="22" t="s">
        <v>27</v>
      </c>
      <c r="K1004" s="10" t="str">
        <f ca="1">DATEDIF('DATA PENDUDUK'!$G1004,TODAY(),"Y")&amp; " TAHUN"</f>
        <v>44 TAHUN</v>
      </c>
      <c r="L1004" s="24" t="s">
        <v>2114</v>
      </c>
    </row>
    <row r="1005" spans="1:12" ht="20.100000000000001" customHeight="1" x14ac:dyDescent="0.25">
      <c r="A1005" s="8">
        <f t="shared" si="15"/>
        <v>1002</v>
      </c>
      <c r="B1005" s="21" t="s">
        <v>2448</v>
      </c>
      <c r="C1005" s="21" t="s">
        <v>2454</v>
      </c>
      <c r="D1005" s="22" t="s">
        <v>2455</v>
      </c>
      <c r="E1005" s="22" t="s">
        <v>1306</v>
      </c>
      <c r="F1005" s="26" t="s">
        <v>818</v>
      </c>
      <c r="G1005" s="23">
        <v>38560</v>
      </c>
      <c r="H1005" s="22" t="s">
        <v>35</v>
      </c>
      <c r="I1005" s="22" t="s">
        <v>31</v>
      </c>
      <c r="J1005" s="22" t="s">
        <v>32</v>
      </c>
      <c r="K1005" s="10" t="str">
        <f ca="1">DATEDIF('DATA PENDUDUK'!$G1005,TODAY(),"Y")&amp; " TAHUN"</f>
        <v>19 TAHUN</v>
      </c>
      <c r="L1005" s="24" t="s">
        <v>2114</v>
      </c>
    </row>
    <row r="1006" spans="1:12" ht="20.100000000000001" customHeight="1" x14ac:dyDescent="0.25">
      <c r="A1006" s="8">
        <f t="shared" si="15"/>
        <v>1003</v>
      </c>
      <c r="B1006" s="21" t="s">
        <v>2448</v>
      </c>
      <c r="C1006" s="21" t="s">
        <v>2456</v>
      </c>
      <c r="D1006" s="22" t="s">
        <v>2457</v>
      </c>
      <c r="E1006" s="22" t="s">
        <v>671</v>
      </c>
      <c r="F1006" s="22" t="s">
        <v>546</v>
      </c>
      <c r="G1006" s="23">
        <v>38969</v>
      </c>
      <c r="H1006" s="22" t="s">
        <v>35</v>
      </c>
      <c r="I1006" s="22" t="s">
        <v>31</v>
      </c>
      <c r="J1006" s="22" t="s">
        <v>32</v>
      </c>
      <c r="K1006" s="10" t="str">
        <f ca="1">DATEDIF('DATA PENDUDUK'!$G1006,TODAY(),"Y")&amp; " TAHUN"</f>
        <v>18 TAHUN</v>
      </c>
      <c r="L1006" s="24" t="s">
        <v>2114</v>
      </c>
    </row>
    <row r="1007" spans="1:12" ht="20.100000000000001" customHeight="1" x14ac:dyDescent="0.25">
      <c r="A1007" s="8">
        <f t="shared" si="15"/>
        <v>1004</v>
      </c>
      <c r="B1007" s="21" t="s">
        <v>2458</v>
      </c>
      <c r="C1007" s="21" t="s">
        <v>2459</v>
      </c>
      <c r="D1007" s="22" t="s">
        <v>2460</v>
      </c>
      <c r="E1007" s="22" t="s">
        <v>671</v>
      </c>
      <c r="F1007" s="22" t="s">
        <v>174</v>
      </c>
      <c r="G1007" s="23">
        <v>19515</v>
      </c>
      <c r="H1007" s="22" t="s">
        <v>35</v>
      </c>
      <c r="I1007" s="22" t="s">
        <v>19</v>
      </c>
      <c r="J1007" s="22" t="s">
        <v>20</v>
      </c>
      <c r="K1007" s="10" t="str">
        <f ca="1">DATEDIF('DATA PENDUDUK'!$G1007,TODAY(),"Y")&amp; " TAHUN"</f>
        <v>72 TAHUN</v>
      </c>
      <c r="L1007" s="24" t="s">
        <v>2114</v>
      </c>
    </row>
    <row r="1008" spans="1:12" ht="20.100000000000001" customHeight="1" x14ac:dyDescent="0.25">
      <c r="A1008" s="8">
        <f t="shared" si="15"/>
        <v>1005</v>
      </c>
      <c r="B1008" s="21" t="s">
        <v>2458</v>
      </c>
      <c r="C1008" s="21" t="s">
        <v>2461</v>
      </c>
      <c r="D1008" s="22" t="s">
        <v>2462</v>
      </c>
      <c r="E1008" s="22" t="s">
        <v>1306</v>
      </c>
      <c r="F1008" s="22" t="s">
        <v>290</v>
      </c>
      <c r="G1008" s="23">
        <v>24453</v>
      </c>
      <c r="H1008" s="22" t="s">
        <v>35</v>
      </c>
      <c r="I1008" s="22" t="s">
        <v>26</v>
      </c>
      <c r="J1008" s="22" t="s">
        <v>27</v>
      </c>
      <c r="K1008" s="10" t="str">
        <f ca="1">DATEDIF('DATA PENDUDUK'!$G1008,TODAY(),"Y")&amp; " TAHUN"</f>
        <v>58 TAHUN</v>
      </c>
      <c r="L1008" s="24" t="s">
        <v>2114</v>
      </c>
    </row>
    <row r="1009" spans="1:12" ht="20.100000000000001" customHeight="1" x14ac:dyDescent="0.25">
      <c r="A1009" s="8">
        <f t="shared" si="15"/>
        <v>1006</v>
      </c>
      <c r="B1009" s="21" t="s">
        <v>2458</v>
      </c>
      <c r="C1009" s="21" t="s">
        <v>2463</v>
      </c>
      <c r="D1009" s="22" t="s">
        <v>2464</v>
      </c>
      <c r="E1009" s="22" t="s">
        <v>671</v>
      </c>
      <c r="F1009" s="22" t="s">
        <v>30</v>
      </c>
      <c r="G1009" s="23">
        <v>36632</v>
      </c>
      <c r="H1009" s="22" t="s">
        <v>35</v>
      </c>
      <c r="I1009" s="22" t="s">
        <v>40</v>
      </c>
      <c r="J1009" s="22" t="s">
        <v>32</v>
      </c>
      <c r="K1009" s="10" t="str">
        <f ca="1">DATEDIF('DATA PENDUDUK'!$G1009,TODAY(),"Y")&amp; " TAHUN"</f>
        <v>25 TAHUN</v>
      </c>
      <c r="L1009" s="24" t="s">
        <v>2114</v>
      </c>
    </row>
    <row r="1010" spans="1:12" ht="20.100000000000001" customHeight="1" x14ac:dyDescent="0.25">
      <c r="A1010" s="8">
        <f t="shared" si="15"/>
        <v>1007</v>
      </c>
      <c r="B1010" s="21" t="s">
        <v>2465</v>
      </c>
      <c r="C1010" s="21" t="s">
        <v>2466</v>
      </c>
      <c r="D1010" s="22" t="s">
        <v>2467</v>
      </c>
      <c r="E1010" s="22" t="s">
        <v>671</v>
      </c>
      <c r="F1010" s="22" t="s">
        <v>205</v>
      </c>
      <c r="G1010" s="23">
        <v>23149</v>
      </c>
      <c r="H1010" s="22" t="s">
        <v>35</v>
      </c>
      <c r="I1010" s="22" t="s">
        <v>19</v>
      </c>
      <c r="J1010" s="22" t="s">
        <v>20</v>
      </c>
      <c r="K1010" s="10" t="str">
        <f ca="1">DATEDIF('DATA PENDUDUK'!$G1010,TODAY(),"Y")&amp; " TAHUN"</f>
        <v>62 TAHUN</v>
      </c>
      <c r="L1010" s="24" t="s">
        <v>2114</v>
      </c>
    </row>
    <row r="1011" spans="1:12" ht="20.100000000000001" customHeight="1" x14ac:dyDescent="0.25">
      <c r="A1011" s="8">
        <f t="shared" si="15"/>
        <v>1008</v>
      </c>
      <c r="B1011" s="21" t="s">
        <v>2465</v>
      </c>
      <c r="C1011" s="21" t="s">
        <v>2468</v>
      </c>
      <c r="D1011" s="22" t="s">
        <v>2469</v>
      </c>
      <c r="E1011" s="22" t="s">
        <v>1306</v>
      </c>
      <c r="F1011" s="22" t="s">
        <v>629</v>
      </c>
      <c r="G1011" s="23">
        <v>28720</v>
      </c>
      <c r="H1011" s="22" t="s">
        <v>35</v>
      </c>
      <c r="I1011" s="22" t="s">
        <v>26</v>
      </c>
      <c r="J1011" s="22" t="s">
        <v>27</v>
      </c>
      <c r="K1011" s="10" t="str">
        <f ca="1">DATEDIF('DATA PENDUDUK'!$G1011,TODAY(),"Y")&amp; " TAHUN"</f>
        <v>46 TAHUN</v>
      </c>
      <c r="L1011" s="24" t="s">
        <v>2114</v>
      </c>
    </row>
    <row r="1012" spans="1:12" ht="20.100000000000001" customHeight="1" x14ac:dyDescent="0.25">
      <c r="A1012" s="8">
        <f t="shared" si="15"/>
        <v>1009</v>
      </c>
      <c r="B1012" s="21" t="s">
        <v>2465</v>
      </c>
      <c r="C1012" s="21" t="s">
        <v>2470</v>
      </c>
      <c r="D1012" s="22" t="s">
        <v>2471</v>
      </c>
      <c r="E1012" s="22" t="s">
        <v>1306</v>
      </c>
      <c r="F1012" s="22" t="s">
        <v>30</v>
      </c>
      <c r="G1012" s="23">
        <v>41525</v>
      </c>
      <c r="H1012" s="22" t="s">
        <v>35</v>
      </c>
      <c r="I1012" s="22" t="s">
        <v>31</v>
      </c>
      <c r="J1012" s="22" t="s">
        <v>32</v>
      </c>
      <c r="K1012" s="10" t="str">
        <f ca="1">DATEDIF('DATA PENDUDUK'!$G1012,TODAY(),"Y")&amp; " TAHUN"</f>
        <v>11 TAHUN</v>
      </c>
      <c r="L1012" s="24" t="s">
        <v>2114</v>
      </c>
    </row>
    <row r="1013" spans="1:12" ht="20.100000000000001" customHeight="1" x14ac:dyDescent="0.25">
      <c r="A1013" s="8">
        <f t="shared" si="15"/>
        <v>1010</v>
      </c>
      <c r="B1013" s="21" t="s">
        <v>2465</v>
      </c>
      <c r="C1013" s="21" t="s">
        <v>2472</v>
      </c>
      <c r="D1013" s="22" t="s">
        <v>2473</v>
      </c>
      <c r="E1013" s="22" t="s">
        <v>671</v>
      </c>
      <c r="F1013" s="22" t="s">
        <v>30</v>
      </c>
      <c r="G1013" s="23">
        <v>43535</v>
      </c>
      <c r="H1013" s="22" t="s">
        <v>35</v>
      </c>
      <c r="I1013" s="22" t="s">
        <v>40</v>
      </c>
      <c r="J1013" s="22" t="s">
        <v>32</v>
      </c>
      <c r="K1013" s="10" t="str">
        <f ca="1">DATEDIF('DATA PENDUDUK'!$G1013,TODAY(),"Y")&amp; " TAHUN"</f>
        <v>6 TAHUN</v>
      </c>
      <c r="L1013" s="24" t="s">
        <v>2114</v>
      </c>
    </row>
    <row r="1014" spans="1:12" ht="20.100000000000001" customHeight="1" x14ac:dyDescent="0.25">
      <c r="A1014" s="8">
        <f t="shared" si="15"/>
        <v>1011</v>
      </c>
      <c r="B1014" s="21" t="s">
        <v>2474</v>
      </c>
      <c r="C1014" s="21" t="s">
        <v>2475</v>
      </c>
      <c r="D1014" s="22" t="s">
        <v>2476</v>
      </c>
      <c r="E1014" s="22" t="s">
        <v>1306</v>
      </c>
      <c r="F1014" s="22" t="s">
        <v>25</v>
      </c>
      <c r="G1014" s="23">
        <v>29323</v>
      </c>
      <c r="H1014" s="22" t="s">
        <v>35</v>
      </c>
      <c r="I1014" s="22" t="s">
        <v>73</v>
      </c>
      <c r="J1014" s="22" t="s">
        <v>20</v>
      </c>
      <c r="K1014" s="10" t="str">
        <f ca="1">DATEDIF('DATA PENDUDUK'!$G1014,TODAY(),"Y")&amp; " TAHUN"</f>
        <v>45 TAHUN</v>
      </c>
      <c r="L1014" s="24" t="s">
        <v>2114</v>
      </c>
    </row>
    <row r="1015" spans="1:12" ht="20.100000000000001" customHeight="1" x14ac:dyDescent="0.25">
      <c r="A1015" s="8">
        <f t="shared" si="15"/>
        <v>1012</v>
      </c>
      <c r="B1015" s="21" t="s">
        <v>2474</v>
      </c>
      <c r="C1015" s="21" t="s">
        <v>2477</v>
      </c>
      <c r="D1015" s="22" t="s">
        <v>2478</v>
      </c>
      <c r="E1015" s="22" t="s">
        <v>671</v>
      </c>
      <c r="F1015" s="22" t="s">
        <v>30</v>
      </c>
      <c r="G1015" s="23">
        <v>42960</v>
      </c>
      <c r="H1015" s="22" t="s">
        <v>35</v>
      </c>
      <c r="I1015" s="22" t="s">
        <v>31</v>
      </c>
      <c r="J1015" s="22" t="s">
        <v>32</v>
      </c>
      <c r="K1015" s="10" t="str">
        <f ca="1">DATEDIF('DATA PENDUDUK'!$G1015,TODAY(),"Y")&amp; " TAHUN"</f>
        <v>7 TAHUN</v>
      </c>
      <c r="L1015" s="24" t="s">
        <v>2114</v>
      </c>
    </row>
    <row r="1016" spans="1:12" ht="20.100000000000001" customHeight="1" x14ac:dyDescent="0.25">
      <c r="A1016" s="8">
        <f t="shared" si="15"/>
        <v>1013</v>
      </c>
      <c r="B1016" s="21" t="s">
        <v>2479</v>
      </c>
      <c r="C1016" s="21" t="s">
        <v>2480</v>
      </c>
      <c r="D1016" s="22" t="s">
        <v>2481</v>
      </c>
      <c r="E1016" s="22" t="s">
        <v>671</v>
      </c>
      <c r="F1016" s="22" t="s">
        <v>238</v>
      </c>
      <c r="G1016" s="23">
        <v>25965</v>
      </c>
      <c r="H1016" s="22" t="s">
        <v>35</v>
      </c>
      <c r="I1016" s="22" t="s">
        <v>150</v>
      </c>
      <c r="J1016" s="22" t="s">
        <v>20</v>
      </c>
      <c r="K1016" s="10" t="str">
        <f ca="1">DATEDIF('DATA PENDUDUK'!$G1016,TODAY(),"Y")&amp; " TAHUN"</f>
        <v>54 TAHUN</v>
      </c>
      <c r="L1016" s="24" t="s">
        <v>2114</v>
      </c>
    </row>
    <row r="1017" spans="1:12" ht="20.100000000000001" customHeight="1" x14ac:dyDescent="0.25">
      <c r="A1017" s="8">
        <f t="shared" si="15"/>
        <v>1014</v>
      </c>
      <c r="B1017" s="21" t="s">
        <v>2479</v>
      </c>
      <c r="C1017" s="21" t="s">
        <v>2482</v>
      </c>
      <c r="D1017" s="22" t="s">
        <v>2483</v>
      </c>
      <c r="E1017" s="22" t="s">
        <v>1306</v>
      </c>
      <c r="F1017" s="22" t="s">
        <v>195</v>
      </c>
      <c r="G1017" s="23">
        <v>29012</v>
      </c>
      <c r="H1017" s="22" t="s">
        <v>35</v>
      </c>
      <c r="I1017" s="22" t="s">
        <v>26</v>
      </c>
      <c r="J1017" s="22" t="s">
        <v>27</v>
      </c>
      <c r="K1017" s="10" t="str">
        <f ca="1">DATEDIF('DATA PENDUDUK'!$G1017,TODAY(),"Y")&amp; " TAHUN"</f>
        <v>46 TAHUN</v>
      </c>
      <c r="L1017" s="24" t="s">
        <v>2114</v>
      </c>
    </row>
    <row r="1018" spans="1:12" ht="20.100000000000001" customHeight="1" x14ac:dyDescent="0.25">
      <c r="A1018" s="8">
        <f t="shared" si="15"/>
        <v>1015</v>
      </c>
      <c r="B1018" s="21" t="s">
        <v>2479</v>
      </c>
      <c r="C1018" s="21" t="s">
        <v>2484</v>
      </c>
      <c r="D1018" s="22" t="s">
        <v>2485</v>
      </c>
      <c r="E1018" s="22" t="s">
        <v>671</v>
      </c>
      <c r="F1018" s="22" t="s">
        <v>195</v>
      </c>
      <c r="G1018" s="23">
        <v>36040</v>
      </c>
      <c r="H1018" s="22" t="s">
        <v>35</v>
      </c>
      <c r="I1018" s="22" t="s">
        <v>40</v>
      </c>
      <c r="J1018" s="22" t="s">
        <v>32</v>
      </c>
      <c r="K1018" s="10" t="str">
        <f ca="1">DATEDIF('DATA PENDUDUK'!$G1018,TODAY(),"Y")&amp; " TAHUN"</f>
        <v>26 TAHUN</v>
      </c>
      <c r="L1018" s="24" t="s">
        <v>2114</v>
      </c>
    </row>
    <row r="1019" spans="1:12" ht="20.100000000000001" customHeight="1" x14ac:dyDescent="0.25">
      <c r="A1019" s="8">
        <f t="shared" si="15"/>
        <v>1016</v>
      </c>
      <c r="B1019" s="21" t="s">
        <v>2479</v>
      </c>
      <c r="C1019" s="21" t="s">
        <v>2486</v>
      </c>
      <c r="D1019" s="22" t="s">
        <v>2487</v>
      </c>
      <c r="E1019" s="22" t="s">
        <v>671</v>
      </c>
      <c r="F1019" s="22" t="s">
        <v>195</v>
      </c>
      <c r="G1019" s="23">
        <v>40729</v>
      </c>
      <c r="H1019" s="22" t="s">
        <v>35</v>
      </c>
      <c r="I1019" s="22" t="s">
        <v>31</v>
      </c>
      <c r="J1019" s="22" t="s">
        <v>32</v>
      </c>
      <c r="K1019" s="10" t="str">
        <f ca="1">DATEDIF('DATA PENDUDUK'!$G1019,TODAY(),"Y")&amp; " TAHUN"</f>
        <v>14 TAHUN</v>
      </c>
      <c r="L1019" s="24" t="s">
        <v>2114</v>
      </c>
    </row>
    <row r="1020" spans="1:12" ht="20.100000000000001" customHeight="1" x14ac:dyDescent="0.25">
      <c r="A1020" s="8">
        <f t="shared" si="15"/>
        <v>1017</v>
      </c>
      <c r="B1020" s="21" t="s">
        <v>171</v>
      </c>
      <c r="C1020" s="21" t="s">
        <v>172</v>
      </c>
      <c r="D1020" s="22" t="s">
        <v>173</v>
      </c>
      <c r="E1020" s="22" t="s">
        <v>671</v>
      </c>
      <c r="F1020" s="22" t="s">
        <v>174</v>
      </c>
      <c r="G1020" s="23">
        <v>21736</v>
      </c>
      <c r="H1020" s="22" t="s">
        <v>35</v>
      </c>
      <c r="I1020" s="22" t="s">
        <v>19</v>
      </c>
      <c r="J1020" s="22" t="s">
        <v>20</v>
      </c>
      <c r="K1020" s="10" t="str">
        <f ca="1">DATEDIF('DATA PENDUDUK'!$G1020,TODAY(),"Y")&amp; " TAHUN"</f>
        <v>66 TAHUN</v>
      </c>
      <c r="L1020" s="24" t="s">
        <v>2114</v>
      </c>
    </row>
    <row r="1021" spans="1:12" ht="20.100000000000001" customHeight="1" x14ac:dyDescent="0.25">
      <c r="A1021" s="8">
        <f t="shared" si="15"/>
        <v>1018</v>
      </c>
      <c r="B1021" s="21" t="s">
        <v>171</v>
      </c>
      <c r="C1021" s="21" t="s">
        <v>175</v>
      </c>
      <c r="D1021" s="22" t="s">
        <v>176</v>
      </c>
      <c r="E1021" s="22" t="s">
        <v>1306</v>
      </c>
      <c r="F1021" s="22" t="s">
        <v>68</v>
      </c>
      <c r="G1021" s="23">
        <v>25387</v>
      </c>
      <c r="H1021" s="22" t="s">
        <v>35</v>
      </c>
      <c r="I1021" s="22" t="s">
        <v>19</v>
      </c>
      <c r="J1021" s="22" t="s">
        <v>27</v>
      </c>
      <c r="K1021" s="10" t="str">
        <f ca="1">DATEDIF('DATA PENDUDUK'!$G1021,TODAY(),"Y")&amp; " TAHUN"</f>
        <v>56 TAHUN</v>
      </c>
      <c r="L1021" s="24" t="s">
        <v>2114</v>
      </c>
    </row>
    <row r="1022" spans="1:12" ht="20.100000000000001" customHeight="1" x14ac:dyDescent="0.25">
      <c r="A1022" s="8">
        <f t="shared" si="15"/>
        <v>1019</v>
      </c>
      <c r="B1022" s="21" t="s">
        <v>2488</v>
      </c>
      <c r="C1022" s="21" t="s">
        <v>2489</v>
      </c>
      <c r="D1022" s="22" t="s">
        <v>2490</v>
      </c>
      <c r="E1022" s="22" t="s">
        <v>671</v>
      </c>
      <c r="F1022" s="22" t="s">
        <v>432</v>
      </c>
      <c r="G1022" s="23">
        <v>27542</v>
      </c>
      <c r="H1022" s="22" t="s">
        <v>35</v>
      </c>
      <c r="I1022" s="22" t="s">
        <v>162</v>
      </c>
      <c r="J1022" s="22" t="s">
        <v>20</v>
      </c>
      <c r="K1022" s="10" t="str">
        <f ca="1">DATEDIF('DATA PENDUDUK'!$G1022,TODAY(),"Y")&amp; " TAHUN"</f>
        <v>50 TAHUN</v>
      </c>
      <c r="L1022" s="24" t="s">
        <v>2114</v>
      </c>
    </row>
    <row r="1023" spans="1:12" ht="20.100000000000001" customHeight="1" x14ac:dyDescent="0.25">
      <c r="A1023" s="8">
        <f t="shared" si="15"/>
        <v>1020</v>
      </c>
      <c r="B1023" s="21" t="s">
        <v>2488</v>
      </c>
      <c r="C1023" s="21" t="s">
        <v>2491</v>
      </c>
      <c r="D1023" s="22" t="s">
        <v>2492</v>
      </c>
      <c r="E1023" s="22" t="s">
        <v>1306</v>
      </c>
      <c r="F1023" s="22" t="s">
        <v>189</v>
      </c>
      <c r="G1023" s="23">
        <v>29348</v>
      </c>
      <c r="H1023" s="22" t="s">
        <v>35</v>
      </c>
      <c r="I1023" s="22" t="s">
        <v>26</v>
      </c>
      <c r="J1023" s="22" t="s">
        <v>27</v>
      </c>
      <c r="K1023" s="10" t="str">
        <f ca="1">DATEDIF('DATA PENDUDUK'!$G1023,TODAY(),"Y")&amp; " TAHUN"</f>
        <v>45 TAHUN</v>
      </c>
      <c r="L1023" s="24" t="s">
        <v>2114</v>
      </c>
    </row>
    <row r="1024" spans="1:12" ht="20.100000000000001" customHeight="1" x14ac:dyDescent="0.25">
      <c r="A1024" s="8">
        <f t="shared" si="15"/>
        <v>1021</v>
      </c>
      <c r="B1024" s="21" t="s">
        <v>2493</v>
      </c>
      <c r="C1024" s="21" t="s">
        <v>2494</v>
      </c>
      <c r="D1024" s="22" t="s">
        <v>2495</v>
      </c>
      <c r="E1024" s="22" t="s">
        <v>671</v>
      </c>
      <c r="F1024" s="22" t="s">
        <v>629</v>
      </c>
      <c r="G1024" s="23">
        <v>20869</v>
      </c>
      <c r="H1024" s="22" t="s">
        <v>35</v>
      </c>
      <c r="I1024" s="22" t="s">
        <v>19</v>
      </c>
      <c r="J1024" s="22" t="s">
        <v>20</v>
      </c>
      <c r="K1024" s="10" t="str">
        <f ca="1">DATEDIF('DATA PENDUDUK'!$G1024,TODAY(),"Y")&amp; " TAHUN"</f>
        <v>68 TAHUN</v>
      </c>
      <c r="L1024" s="24" t="s">
        <v>2114</v>
      </c>
    </row>
    <row r="1025" spans="1:12" ht="20.100000000000001" customHeight="1" x14ac:dyDescent="0.25">
      <c r="A1025" s="8">
        <f t="shared" si="15"/>
        <v>1022</v>
      </c>
      <c r="B1025" s="21" t="s">
        <v>2493</v>
      </c>
      <c r="C1025" s="21" t="s">
        <v>2496</v>
      </c>
      <c r="D1025" s="22" t="s">
        <v>2497</v>
      </c>
      <c r="E1025" s="22" t="s">
        <v>1306</v>
      </c>
      <c r="F1025" s="22" t="s">
        <v>87</v>
      </c>
      <c r="G1025" s="23">
        <v>27746</v>
      </c>
      <c r="H1025" s="22" t="s">
        <v>35</v>
      </c>
      <c r="I1025" s="22" t="s">
        <v>26</v>
      </c>
      <c r="J1025" s="22" t="s">
        <v>27</v>
      </c>
      <c r="K1025" s="10" t="str">
        <f ca="1">DATEDIF('DATA PENDUDUK'!$G1025,TODAY(),"Y")&amp; " TAHUN"</f>
        <v>49 TAHUN</v>
      </c>
      <c r="L1025" s="24" t="s">
        <v>2114</v>
      </c>
    </row>
    <row r="1026" spans="1:12" ht="20.100000000000001" customHeight="1" x14ac:dyDescent="0.25">
      <c r="A1026" s="8">
        <f t="shared" si="15"/>
        <v>1023</v>
      </c>
      <c r="B1026" s="21" t="s">
        <v>2493</v>
      </c>
      <c r="C1026" s="21" t="s">
        <v>2498</v>
      </c>
      <c r="D1026" s="22" t="s">
        <v>2499</v>
      </c>
      <c r="E1026" s="22" t="s">
        <v>671</v>
      </c>
      <c r="F1026" s="22" t="s">
        <v>353</v>
      </c>
      <c r="G1026" s="23">
        <v>30776</v>
      </c>
      <c r="H1026" s="22" t="s">
        <v>35</v>
      </c>
      <c r="I1026" s="22" t="s">
        <v>40</v>
      </c>
      <c r="J1026" s="22" t="s">
        <v>32</v>
      </c>
      <c r="K1026" s="10" t="str">
        <f ca="1">DATEDIF('DATA PENDUDUK'!$G1026,TODAY(),"Y")&amp; " TAHUN"</f>
        <v>41 TAHUN</v>
      </c>
      <c r="L1026" s="24" t="s">
        <v>2114</v>
      </c>
    </row>
    <row r="1027" spans="1:12" ht="20.100000000000001" customHeight="1" x14ac:dyDescent="0.25">
      <c r="A1027" s="8">
        <f t="shared" si="15"/>
        <v>1024</v>
      </c>
      <c r="B1027" s="21" t="s">
        <v>2493</v>
      </c>
      <c r="C1027" s="21" t="s">
        <v>2500</v>
      </c>
      <c r="D1027" s="22" t="s">
        <v>2501</v>
      </c>
      <c r="E1027" s="22" t="s">
        <v>671</v>
      </c>
      <c r="F1027" s="22" t="s">
        <v>2502</v>
      </c>
      <c r="G1027" s="23">
        <v>33269</v>
      </c>
      <c r="H1027" s="22" t="s">
        <v>35</v>
      </c>
      <c r="I1027" s="22" t="s">
        <v>40</v>
      </c>
      <c r="J1027" s="22" t="s">
        <v>32</v>
      </c>
      <c r="K1027" s="10" t="str">
        <f ca="1">DATEDIF('DATA PENDUDUK'!$G1027,TODAY(),"Y")&amp; " TAHUN"</f>
        <v>34 TAHUN</v>
      </c>
      <c r="L1027" s="24" t="s">
        <v>2114</v>
      </c>
    </row>
    <row r="1028" spans="1:12" ht="20.100000000000001" customHeight="1" x14ac:dyDescent="0.25">
      <c r="A1028" s="8">
        <f t="shared" si="15"/>
        <v>1025</v>
      </c>
      <c r="B1028" s="21" t="s">
        <v>2493</v>
      </c>
      <c r="C1028" s="21" t="s">
        <v>2503</v>
      </c>
      <c r="D1028" s="22" t="s">
        <v>2504</v>
      </c>
      <c r="E1028" s="22" t="s">
        <v>671</v>
      </c>
      <c r="F1028" s="22" t="s">
        <v>30</v>
      </c>
      <c r="G1028" s="23">
        <v>36985</v>
      </c>
      <c r="H1028" s="22" t="s">
        <v>35</v>
      </c>
      <c r="I1028" s="22" t="s">
        <v>40</v>
      </c>
      <c r="J1028" s="22" t="s">
        <v>32</v>
      </c>
      <c r="K1028" s="10" t="str">
        <f ca="1">DATEDIF('DATA PENDUDUK'!$G1028,TODAY(),"Y")&amp; " TAHUN"</f>
        <v>24 TAHUN</v>
      </c>
      <c r="L1028" s="24" t="s">
        <v>2114</v>
      </c>
    </row>
    <row r="1029" spans="1:12" ht="20.100000000000001" customHeight="1" x14ac:dyDescent="0.25">
      <c r="A1029" s="8">
        <f t="shared" si="15"/>
        <v>1026</v>
      </c>
      <c r="B1029" s="21" t="s">
        <v>2493</v>
      </c>
      <c r="C1029" s="21" t="s">
        <v>2505</v>
      </c>
      <c r="D1029" s="22" t="s">
        <v>2506</v>
      </c>
      <c r="E1029" s="22" t="s">
        <v>671</v>
      </c>
      <c r="F1029" s="22" t="s">
        <v>2507</v>
      </c>
      <c r="G1029" s="23">
        <v>25320</v>
      </c>
      <c r="H1029" s="22" t="s">
        <v>35</v>
      </c>
      <c r="I1029" s="22" t="s">
        <v>73</v>
      </c>
      <c r="J1029" s="22" t="s">
        <v>37</v>
      </c>
      <c r="K1029" s="10" t="str">
        <f ca="1">DATEDIF('DATA PENDUDUK'!$G1029,TODAY(),"Y")&amp; " TAHUN"</f>
        <v>56 TAHUN</v>
      </c>
      <c r="L1029" s="24" t="s">
        <v>2114</v>
      </c>
    </row>
    <row r="1030" spans="1:12" ht="20.100000000000001" customHeight="1" x14ac:dyDescent="0.25">
      <c r="A1030" s="8">
        <f t="shared" ref="A1030:A1093" si="16">IF(D1030="","",ROW()-3)</f>
        <v>1027</v>
      </c>
      <c r="B1030" s="21" t="s">
        <v>2493</v>
      </c>
      <c r="C1030" s="21" t="s">
        <v>2508</v>
      </c>
      <c r="D1030" s="22" t="s">
        <v>2509</v>
      </c>
      <c r="E1030" s="22" t="s">
        <v>671</v>
      </c>
      <c r="F1030" s="22" t="s">
        <v>205</v>
      </c>
      <c r="G1030" s="23">
        <v>28672</v>
      </c>
      <c r="H1030" s="22" t="s">
        <v>35</v>
      </c>
      <c r="I1030" s="22" t="s">
        <v>685</v>
      </c>
      <c r="J1030" s="22" t="s">
        <v>37</v>
      </c>
      <c r="K1030" s="10" t="str">
        <f ca="1">DATEDIF('DATA PENDUDUK'!$G1030,TODAY(),"Y")&amp; " TAHUN"</f>
        <v>47 TAHUN</v>
      </c>
      <c r="L1030" s="24" t="s">
        <v>2114</v>
      </c>
    </row>
    <row r="1031" spans="1:12" ht="20.100000000000001" customHeight="1" x14ac:dyDescent="0.25">
      <c r="A1031" s="8">
        <f t="shared" si="16"/>
        <v>1028</v>
      </c>
      <c r="B1031" s="21" t="s">
        <v>2493</v>
      </c>
      <c r="C1031" s="21" t="s">
        <v>2510</v>
      </c>
      <c r="D1031" s="22" t="s">
        <v>2511</v>
      </c>
      <c r="E1031" s="22" t="s">
        <v>671</v>
      </c>
      <c r="F1031" s="22" t="s">
        <v>2502</v>
      </c>
      <c r="G1031" s="23">
        <v>28678</v>
      </c>
      <c r="H1031" s="22" t="s">
        <v>35</v>
      </c>
      <c r="I1031" s="22" t="s">
        <v>40</v>
      </c>
      <c r="J1031" s="22" t="s">
        <v>37</v>
      </c>
      <c r="K1031" s="10" t="str">
        <f ca="1">DATEDIF('DATA PENDUDUK'!$G1031,TODAY(),"Y")&amp; " TAHUN"</f>
        <v>47 TAHUN</v>
      </c>
      <c r="L1031" s="24" t="s">
        <v>2114</v>
      </c>
    </row>
    <row r="1032" spans="1:12" ht="20.100000000000001" customHeight="1" x14ac:dyDescent="0.25">
      <c r="A1032" s="8">
        <f t="shared" si="16"/>
        <v>1029</v>
      </c>
      <c r="B1032" s="21" t="s">
        <v>2493</v>
      </c>
      <c r="C1032" s="21" t="s">
        <v>2512</v>
      </c>
      <c r="D1032" s="22" t="s">
        <v>2513</v>
      </c>
      <c r="E1032" s="22" t="s">
        <v>671</v>
      </c>
      <c r="F1032" s="22" t="s">
        <v>2514</v>
      </c>
      <c r="G1032" s="23">
        <v>33657</v>
      </c>
      <c r="H1032" s="22" t="s">
        <v>35</v>
      </c>
      <c r="I1032" s="22" t="s">
        <v>40</v>
      </c>
      <c r="J1032" s="22" t="s">
        <v>37</v>
      </c>
      <c r="K1032" s="10" t="str">
        <f ca="1">DATEDIF('DATA PENDUDUK'!$G1032,TODAY(),"Y")&amp; " TAHUN"</f>
        <v>33 TAHUN</v>
      </c>
      <c r="L1032" s="24" t="s">
        <v>2114</v>
      </c>
    </row>
    <row r="1033" spans="1:12" ht="20.100000000000001" customHeight="1" x14ac:dyDescent="0.25">
      <c r="A1033" s="8">
        <f t="shared" si="16"/>
        <v>1030</v>
      </c>
      <c r="B1033" s="21" t="s">
        <v>2493</v>
      </c>
      <c r="C1033" s="21" t="s">
        <v>2515</v>
      </c>
      <c r="D1033" s="22" t="s">
        <v>2516</v>
      </c>
      <c r="E1033" s="22" t="s">
        <v>671</v>
      </c>
      <c r="F1033" s="22" t="s">
        <v>2517</v>
      </c>
      <c r="G1033" s="23">
        <v>36396</v>
      </c>
      <c r="H1033" s="22" t="s">
        <v>35</v>
      </c>
      <c r="I1033" s="22" t="s">
        <v>40</v>
      </c>
      <c r="J1033" s="22" t="s">
        <v>37</v>
      </c>
      <c r="K1033" s="10" t="str">
        <f ca="1">DATEDIF('DATA PENDUDUK'!$G1033,TODAY(),"Y")&amp; " TAHUN"</f>
        <v>25 TAHUN</v>
      </c>
      <c r="L1033" s="24" t="s">
        <v>2114</v>
      </c>
    </row>
    <row r="1034" spans="1:12" ht="20.100000000000001" customHeight="1" x14ac:dyDescent="0.25">
      <c r="A1034" s="8">
        <f t="shared" si="16"/>
        <v>1031</v>
      </c>
      <c r="B1034" s="21" t="s">
        <v>2518</v>
      </c>
      <c r="C1034" s="21" t="s">
        <v>2519</v>
      </c>
      <c r="D1034" s="22" t="s">
        <v>2520</v>
      </c>
      <c r="E1034" s="22" t="s">
        <v>671</v>
      </c>
      <c r="F1034" s="22" t="s">
        <v>889</v>
      </c>
      <c r="G1034" s="23">
        <v>26842</v>
      </c>
      <c r="H1034" s="22" t="s">
        <v>35</v>
      </c>
      <c r="I1034" s="22" t="s">
        <v>36</v>
      </c>
      <c r="J1034" s="22" t="s">
        <v>20</v>
      </c>
      <c r="K1034" s="10" t="str">
        <f ca="1">DATEDIF('DATA PENDUDUK'!$G1034,TODAY(),"Y")&amp; " TAHUN"</f>
        <v>52 TAHUN</v>
      </c>
      <c r="L1034" s="24" t="s">
        <v>2114</v>
      </c>
    </row>
    <row r="1035" spans="1:12" ht="20.100000000000001" customHeight="1" x14ac:dyDescent="0.25">
      <c r="A1035" s="8">
        <f t="shared" si="16"/>
        <v>1032</v>
      </c>
      <c r="B1035" s="21" t="s">
        <v>2518</v>
      </c>
      <c r="C1035" s="21" t="s">
        <v>2521</v>
      </c>
      <c r="D1035" s="22" t="s">
        <v>2522</v>
      </c>
      <c r="E1035" s="22" t="s">
        <v>1306</v>
      </c>
      <c r="F1035" s="22" t="s">
        <v>79</v>
      </c>
      <c r="G1035" s="23">
        <v>25214</v>
      </c>
      <c r="H1035" s="22" t="s">
        <v>35</v>
      </c>
      <c r="I1035" s="22" t="s">
        <v>26</v>
      </c>
      <c r="J1035" s="22" t="s">
        <v>27</v>
      </c>
      <c r="K1035" s="10" t="str">
        <f ca="1">DATEDIF('DATA PENDUDUK'!$G1035,TODAY(),"Y")&amp; " TAHUN"</f>
        <v>56 TAHUN</v>
      </c>
      <c r="L1035" s="24" t="s">
        <v>2114</v>
      </c>
    </row>
    <row r="1036" spans="1:12" ht="20.100000000000001" customHeight="1" x14ac:dyDescent="0.25">
      <c r="A1036" s="8">
        <f t="shared" si="16"/>
        <v>1033</v>
      </c>
      <c r="B1036" s="21" t="s">
        <v>2518</v>
      </c>
      <c r="C1036" s="21" t="s">
        <v>2523</v>
      </c>
      <c r="D1036" s="22" t="s">
        <v>2524</v>
      </c>
      <c r="E1036" s="22" t="s">
        <v>671</v>
      </c>
      <c r="F1036" s="22" t="s">
        <v>30</v>
      </c>
      <c r="G1036" s="23">
        <v>37065</v>
      </c>
      <c r="H1036" s="22" t="s">
        <v>35</v>
      </c>
      <c r="I1036" s="22" t="s">
        <v>40</v>
      </c>
      <c r="J1036" s="22" t="s">
        <v>32</v>
      </c>
      <c r="K1036" s="10" t="str">
        <f ca="1">DATEDIF('DATA PENDUDUK'!$G1036,TODAY(),"Y")&amp; " TAHUN"</f>
        <v>24 TAHUN</v>
      </c>
      <c r="L1036" s="24" t="s">
        <v>2114</v>
      </c>
    </row>
    <row r="1037" spans="1:12" ht="20.100000000000001" customHeight="1" x14ac:dyDescent="0.25">
      <c r="A1037" s="8">
        <f t="shared" si="16"/>
        <v>1034</v>
      </c>
      <c r="B1037" s="21" t="s">
        <v>2525</v>
      </c>
      <c r="C1037" s="21" t="s">
        <v>2526</v>
      </c>
      <c r="D1037" s="22" t="s">
        <v>2527</v>
      </c>
      <c r="E1037" s="22" t="s">
        <v>671</v>
      </c>
      <c r="F1037" s="22" t="s">
        <v>61</v>
      </c>
      <c r="G1037" s="23">
        <v>29290</v>
      </c>
      <c r="H1037" s="22" t="s">
        <v>35</v>
      </c>
      <c r="I1037" s="22" t="s">
        <v>2528</v>
      </c>
      <c r="J1037" s="22" t="s">
        <v>20</v>
      </c>
      <c r="K1037" s="10" t="str">
        <f ca="1">DATEDIF('DATA PENDUDUK'!$G1037,TODAY(),"Y")&amp; " TAHUN"</f>
        <v>45 TAHUN</v>
      </c>
      <c r="L1037" s="24" t="s">
        <v>2114</v>
      </c>
    </row>
    <row r="1038" spans="1:12" ht="20.100000000000001" customHeight="1" x14ac:dyDescent="0.25">
      <c r="A1038" s="8">
        <f t="shared" si="16"/>
        <v>1035</v>
      </c>
      <c r="B1038" s="21" t="s">
        <v>2525</v>
      </c>
      <c r="C1038" s="21" t="s">
        <v>2529</v>
      </c>
      <c r="D1038" s="22" t="s">
        <v>2530</v>
      </c>
      <c r="E1038" s="22" t="s">
        <v>1306</v>
      </c>
      <c r="F1038" s="22" t="s">
        <v>2256</v>
      </c>
      <c r="G1038" s="23">
        <v>29768</v>
      </c>
      <c r="H1038" s="22" t="s">
        <v>35</v>
      </c>
      <c r="I1038" s="22" t="s">
        <v>26</v>
      </c>
      <c r="J1038" s="22" t="s">
        <v>27</v>
      </c>
      <c r="K1038" s="10" t="str">
        <f ca="1">DATEDIF('DATA PENDUDUK'!$G1038,TODAY(),"Y")&amp; " TAHUN"</f>
        <v>44 TAHUN</v>
      </c>
      <c r="L1038" s="24" t="s">
        <v>2114</v>
      </c>
    </row>
    <row r="1039" spans="1:12" ht="20.100000000000001" customHeight="1" x14ac:dyDescent="0.25">
      <c r="A1039" s="8">
        <f t="shared" si="16"/>
        <v>1036</v>
      </c>
      <c r="B1039" s="21" t="s">
        <v>2525</v>
      </c>
      <c r="C1039" s="21" t="s">
        <v>2531</v>
      </c>
      <c r="D1039" s="22" t="s">
        <v>2532</v>
      </c>
      <c r="E1039" s="22" t="s">
        <v>1306</v>
      </c>
      <c r="F1039" s="22" t="s">
        <v>79</v>
      </c>
      <c r="G1039" s="23">
        <v>39277</v>
      </c>
      <c r="H1039" s="22" t="s">
        <v>35</v>
      </c>
      <c r="I1039" s="22" t="s">
        <v>31</v>
      </c>
      <c r="J1039" s="22" t="s">
        <v>32</v>
      </c>
      <c r="K1039" s="10" t="str">
        <f ca="1">DATEDIF('DATA PENDUDUK'!$G1039,TODAY(),"Y")&amp; " TAHUN"</f>
        <v>18 TAHUN</v>
      </c>
      <c r="L1039" s="24" t="s">
        <v>2114</v>
      </c>
    </row>
    <row r="1040" spans="1:12" ht="20.100000000000001" customHeight="1" x14ac:dyDescent="0.25">
      <c r="A1040" s="8">
        <f t="shared" si="16"/>
        <v>1037</v>
      </c>
      <c r="B1040" s="21" t="s">
        <v>2533</v>
      </c>
      <c r="C1040" s="21" t="s">
        <v>2534</v>
      </c>
      <c r="D1040" s="22" t="s">
        <v>2535</v>
      </c>
      <c r="E1040" s="22" t="s">
        <v>1306</v>
      </c>
      <c r="F1040" s="22" t="s">
        <v>25</v>
      </c>
      <c r="G1040" s="23">
        <v>29351</v>
      </c>
      <c r="H1040" s="22" t="s">
        <v>35</v>
      </c>
      <c r="I1040" s="22" t="s">
        <v>19</v>
      </c>
      <c r="J1040" s="22" t="s">
        <v>20</v>
      </c>
      <c r="K1040" s="10" t="str">
        <f ca="1">DATEDIF('DATA PENDUDUK'!$G1040,TODAY(),"Y")&amp; " TAHUN"</f>
        <v>45 TAHUN</v>
      </c>
      <c r="L1040" s="24" t="s">
        <v>2114</v>
      </c>
    </row>
    <row r="1041" spans="1:12" ht="20.100000000000001" customHeight="1" x14ac:dyDescent="0.25">
      <c r="A1041" s="8">
        <f t="shared" si="16"/>
        <v>1038</v>
      </c>
      <c r="B1041" s="21" t="s">
        <v>2123</v>
      </c>
      <c r="C1041" s="21" t="s">
        <v>2124</v>
      </c>
      <c r="D1041" s="22" t="s">
        <v>2125</v>
      </c>
      <c r="E1041" s="22" t="s">
        <v>1306</v>
      </c>
      <c r="F1041" s="22" t="s">
        <v>518</v>
      </c>
      <c r="G1041" s="23">
        <v>28972</v>
      </c>
      <c r="H1041" s="22" t="s">
        <v>35</v>
      </c>
      <c r="I1041" s="22" t="s">
        <v>26</v>
      </c>
      <c r="J1041" s="22" t="s">
        <v>20</v>
      </c>
      <c r="K1041" s="10" t="str">
        <f ca="1">DATEDIF('DATA PENDUDUK'!$G1041,TODAY(),"Y")&amp; " TAHUN"</f>
        <v>46 TAHUN</v>
      </c>
      <c r="L1041" s="24" t="s">
        <v>2114</v>
      </c>
    </row>
    <row r="1042" spans="1:12" ht="20.100000000000001" customHeight="1" x14ac:dyDescent="0.25">
      <c r="A1042" s="8">
        <f t="shared" si="16"/>
        <v>1039</v>
      </c>
      <c r="B1042" s="21" t="s">
        <v>2123</v>
      </c>
      <c r="C1042" s="21" t="s">
        <v>2126</v>
      </c>
      <c r="D1042" s="22" t="s">
        <v>2127</v>
      </c>
      <c r="E1042" s="22" t="s">
        <v>671</v>
      </c>
      <c r="F1042" s="22" t="s">
        <v>30</v>
      </c>
      <c r="G1042" s="23">
        <v>39278</v>
      </c>
      <c r="H1042" s="22" t="s">
        <v>35</v>
      </c>
      <c r="I1042" s="22" t="s">
        <v>31</v>
      </c>
      <c r="J1042" s="22" t="s">
        <v>32</v>
      </c>
      <c r="K1042" s="10" t="str">
        <f ca="1">DATEDIF('DATA PENDUDUK'!$G1042,TODAY(),"Y")&amp; " TAHUN"</f>
        <v>18 TAHUN</v>
      </c>
      <c r="L1042" s="24" t="s">
        <v>2114</v>
      </c>
    </row>
    <row r="1043" spans="1:12" ht="20.100000000000001" customHeight="1" x14ac:dyDescent="0.25">
      <c r="A1043" s="8">
        <f t="shared" si="16"/>
        <v>1040</v>
      </c>
      <c r="B1043" s="21" t="s">
        <v>2123</v>
      </c>
      <c r="C1043" s="21" t="s">
        <v>2128</v>
      </c>
      <c r="D1043" s="22" t="s">
        <v>2129</v>
      </c>
      <c r="E1043" s="22" t="s">
        <v>671</v>
      </c>
      <c r="F1043" s="22" t="s">
        <v>30</v>
      </c>
      <c r="G1043" s="23">
        <v>40463</v>
      </c>
      <c r="H1043" s="22" t="s">
        <v>35</v>
      </c>
      <c r="I1043" s="22" t="s">
        <v>31</v>
      </c>
      <c r="J1043" s="22" t="s">
        <v>32</v>
      </c>
      <c r="K1043" s="10" t="str">
        <f ca="1">DATEDIF('DATA PENDUDUK'!$G1043,TODAY(),"Y")&amp; " TAHUN"</f>
        <v>14 TAHUN</v>
      </c>
      <c r="L1043" s="24" t="s">
        <v>2114</v>
      </c>
    </row>
    <row r="1044" spans="1:12" ht="20.100000000000001" customHeight="1" x14ac:dyDescent="0.25">
      <c r="A1044" s="8">
        <f t="shared" si="16"/>
        <v>1041</v>
      </c>
      <c r="B1044" s="21" t="s">
        <v>2536</v>
      </c>
      <c r="C1044" s="21" t="s">
        <v>2537</v>
      </c>
      <c r="D1044" s="22" t="s">
        <v>2538</v>
      </c>
      <c r="E1044" s="22" t="s">
        <v>671</v>
      </c>
      <c r="F1044" s="22" t="s">
        <v>2539</v>
      </c>
      <c r="G1044" s="23">
        <v>19557</v>
      </c>
      <c r="H1044" s="22" t="s">
        <v>35</v>
      </c>
      <c r="I1044" s="22" t="s">
        <v>36</v>
      </c>
      <c r="J1044" s="22" t="s">
        <v>20</v>
      </c>
      <c r="K1044" s="10" t="str">
        <f ca="1">DATEDIF('DATA PENDUDUK'!$G1044,TODAY(),"Y")&amp; " TAHUN"</f>
        <v>72 TAHUN</v>
      </c>
      <c r="L1044" s="24" t="s">
        <v>2114</v>
      </c>
    </row>
    <row r="1045" spans="1:12" ht="20.100000000000001" customHeight="1" x14ac:dyDescent="0.25">
      <c r="A1045" s="8">
        <f t="shared" si="16"/>
        <v>1042</v>
      </c>
      <c r="B1045" s="21" t="s">
        <v>2536</v>
      </c>
      <c r="C1045" s="21" t="s">
        <v>2540</v>
      </c>
      <c r="D1045" s="22" t="s">
        <v>2541</v>
      </c>
      <c r="E1045" s="22" t="s">
        <v>1306</v>
      </c>
      <c r="F1045" s="22" t="s">
        <v>2539</v>
      </c>
      <c r="G1045" s="23">
        <v>20891</v>
      </c>
      <c r="H1045" s="22" t="s">
        <v>35</v>
      </c>
      <c r="I1045" s="22" t="s">
        <v>26</v>
      </c>
      <c r="J1045" s="22" t="s">
        <v>27</v>
      </c>
      <c r="K1045" s="10" t="str">
        <f ca="1">DATEDIF('DATA PENDUDUK'!$G1045,TODAY(),"Y")&amp; " TAHUN"</f>
        <v>68 TAHUN</v>
      </c>
      <c r="L1045" s="24" t="s">
        <v>2114</v>
      </c>
    </row>
    <row r="1046" spans="1:12" ht="20.100000000000001" customHeight="1" x14ac:dyDescent="0.25">
      <c r="A1046" s="8">
        <f t="shared" si="16"/>
        <v>1043</v>
      </c>
      <c r="B1046" s="21" t="s">
        <v>2542</v>
      </c>
      <c r="C1046" s="21" t="s">
        <v>2543</v>
      </c>
      <c r="D1046" s="22" t="s">
        <v>2544</v>
      </c>
      <c r="E1046" s="22" t="s">
        <v>671</v>
      </c>
      <c r="F1046" s="22" t="s">
        <v>30</v>
      </c>
      <c r="G1046" s="23">
        <v>35618</v>
      </c>
      <c r="H1046" s="22" t="s">
        <v>35</v>
      </c>
      <c r="I1046" s="22" t="s">
        <v>73</v>
      </c>
      <c r="J1046" s="22" t="s">
        <v>20</v>
      </c>
      <c r="K1046" s="10" t="str">
        <f ca="1">DATEDIF('DATA PENDUDUK'!$G1046,TODAY(),"Y")&amp; " TAHUN"</f>
        <v>28 TAHUN</v>
      </c>
      <c r="L1046" s="24" t="s">
        <v>2114</v>
      </c>
    </row>
    <row r="1047" spans="1:12" ht="20.100000000000001" customHeight="1" x14ac:dyDescent="0.25">
      <c r="A1047" s="8">
        <f t="shared" si="16"/>
        <v>1044</v>
      </c>
      <c r="B1047" s="21" t="s">
        <v>2542</v>
      </c>
      <c r="C1047" s="21" t="s">
        <v>2545</v>
      </c>
      <c r="D1047" s="22" t="s">
        <v>2546</v>
      </c>
      <c r="E1047" s="22" t="s">
        <v>1306</v>
      </c>
      <c r="F1047" s="22" t="s">
        <v>30</v>
      </c>
      <c r="G1047" s="23">
        <v>35786</v>
      </c>
      <c r="H1047" s="22" t="s">
        <v>35</v>
      </c>
      <c r="I1047" s="22" t="s">
        <v>26</v>
      </c>
      <c r="J1047" s="22" t="s">
        <v>27</v>
      </c>
      <c r="K1047" s="10" t="str">
        <f ca="1">DATEDIF('DATA PENDUDUK'!$G1047,TODAY(),"Y")&amp; " TAHUN"</f>
        <v>27 TAHUN</v>
      </c>
      <c r="L1047" s="24" t="s">
        <v>2114</v>
      </c>
    </row>
    <row r="1048" spans="1:12" ht="20.100000000000001" customHeight="1" x14ac:dyDescent="0.25">
      <c r="A1048" s="8">
        <f t="shared" si="16"/>
        <v>1045</v>
      </c>
      <c r="B1048" s="21" t="s">
        <v>2542</v>
      </c>
      <c r="C1048" s="21" t="s">
        <v>2547</v>
      </c>
      <c r="D1048" s="22" t="s">
        <v>2548</v>
      </c>
      <c r="E1048" s="22" t="s">
        <v>671</v>
      </c>
      <c r="F1048" s="22" t="s">
        <v>134</v>
      </c>
      <c r="G1048" s="23">
        <v>42372</v>
      </c>
      <c r="H1048" s="22" t="s">
        <v>35</v>
      </c>
      <c r="I1048" s="22" t="s">
        <v>31</v>
      </c>
      <c r="J1048" s="22" t="s">
        <v>32</v>
      </c>
      <c r="K1048" s="10" t="str">
        <f ca="1">DATEDIF('DATA PENDUDUK'!$G1048,TODAY(),"Y")&amp; " TAHUN"</f>
        <v>9 TAHUN</v>
      </c>
      <c r="L1048" s="24" t="s">
        <v>2114</v>
      </c>
    </row>
    <row r="1049" spans="1:12" ht="20.100000000000001" customHeight="1" x14ac:dyDescent="0.25">
      <c r="A1049" s="8">
        <f t="shared" si="16"/>
        <v>1046</v>
      </c>
      <c r="B1049" s="21" t="s">
        <v>2542</v>
      </c>
      <c r="C1049" s="21" t="s">
        <v>2549</v>
      </c>
      <c r="D1049" s="22" t="s">
        <v>2550</v>
      </c>
      <c r="E1049" s="22" t="s">
        <v>671</v>
      </c>
      <c r="F1049" s="22" t="s">
        <v>30</v>
      </c>
      <c r="G1049" s="23">
        <v>43190</v>
      </c>
      <c r="H1049" s="22" t="s">
        <v>35</v>
      </c>
      <c r="I1049" s="22" t="s">
        <v>40</v>
      </c>
      <c r="J1049" s="22" t="s">
        <v>32</v>
      </c>
      <c r="K1049" s="10" t="str">
        <f ca="1">DATEDIF('DATA PENDUDUK'!$G1049,TODAY(),"Y")&amp; " TAHUN"</f>
        <v>7 TAHUN</v>
      </c>
      <c r="L1049" s="24" t="s">
        <v>2114</v>
      </c>
    </row>
    <row r="1050" spans="1:12" ht="20.100000000000001" customHeight="1" x14ac:dyDescent="0.25">
      <c r="A1050" s="8">
        <f t="shared" si="16"/>
        <v>1047</v>
      </c>
      <c r="B1050" s="21" t="s">
        <v>2551</v>
      </c>
      <c r="C1050" s="21" t="s">
        <v>2552</v>
      </c>
      <c r="D1050" s="22" t="s">
        <v>2553</v>
      </c>
      <c r="E1050" s="22" t="s">
        <v>671</v>
      </c>
      <c r="F1050" s="22" t="s">
        <v>1591</v>
      </c>
      <c r="G1050" s="23">
        <v>28978</v>
      </c>
      <c r="H1050" s="22" t="s">
        <v>35</v>
      </c>
      <c r="I1050" s="22" t="s">
        <v>19</v>
      </c>
      <c r="J1050" s="22" t="s">
        <v>20</v>
      </c>
      <c r="K1050" s="10" t="str">
        <f ca="1">DATEDIF('DATA PENDUDUK'!$G1050,TODAY(),"Y")&amp; " TAHUN"</f>
        <v>46 TAHUN</v>
      </c>
      <c r="L1050" s="24" t="s">
        <v>2114</v>
      </c>
    </row>
    <row r="1051" spans="1:12" ht="20.100000000000001" customHeight="1" x14ac:dyDescent="0.25">
      <c r="A1051" s="8">
        <f t="shared" si="16"/>
        <v>1048</v>
      </c>
      <c r="B1051" s="21" t="s">
        <v>2551</v>
      </c>
      <c r="C1051" s="21" t="s">
        <v>2554</v>
      </c>
      <c r="D1051" s="22" t="s">
        <v>2555</v>
      </c>
      <c r="E1051" s="22" t="s">
        <v>1306</v>
      </c>
      <c r="F1051" s="22" t="s">
        <v>345</v>
      </c>
      <c r="G1051" s="23">
        <v>25802</v>
      </c>
      <c r="H1051" s="22" t="s">
        <v>35</v>
      </c>
      <c r="I1051" s="22" t="s">
        <v>26</v>
      </c>
      <c r="J1051" s="22" t="s">
        <v>27</v>
      </c>
      <c r="K1051" s="10" t="str">
        <f ca="1">DATEDIF('DATA PENDUDUK'!$G1051,TODAY(),"Y")&amp; " TAHUN"</f>
        <v>54 TAHUN</v>
      </c>
      <c r="L1051" s="24" t="s">
        <v>2114</v>
      </c>
    </row>
    <row r="1052" spans="1:12" ht="20.100000000000001" customHeight="1" x14ac:dyDescent="0.25">
      <c r="A1052" s="8">
        <f t="shared" si="16"/>
        <v>1049</v>
      </c>
      <c r="B1052" s="21" t="s">
        <v>2551</v>
      </c>
      <c r="C1052" s="21" t="s">
        <v>2556</v>
      </c>
      <c r="D1052" s="22" t="s">
        <v>2557</v>
      </c>
      <c r="E1052" s="22" t="s">
        <v>671</v>
      </c>
      <c r="F1052" s="22" t="s">
        <v>345</v>
      </c>
      <c r="G1052" s="23">
        <v>33438</v>
      </c>
      <c r="H1052" s="22" t="s">
        <v>35</v>
      </c>
      <c r="I1052" s="22" t="s">
        <v>19</v>
      </c>
      <c r="J1052" s="22" t="s">
        <v>32</v>
      </c>
      <c r="K1052" s="10" t="str">
        <f ca="1">DATEDIF('DATA PENDUDUK'!$G1052,TODAY(),"Y")&amp; " TAHUN"</f>
        <v>34 TAHUN</v>
      </c>
      <c r="L1052" s="24" t="s">
        <v>2114</v>
      </c>
    </row>
    <row r="1053" spans="1:12" ht="20.100000000000001" customHeight="1" x14ac:dyDescent="0.25">
      <c r="A1053" s="8">
        <f t="shared" si="16"/>
        <v>1050</v>
      </c>
      <c r="B1053" s="21" t="s">
        <v>2551</v>
      </c>
      <c r="C1053" s="21" t="s">
        <v>2558</v>
      </c>
      <c r="D1053" s="22" t="s">
        <v>2559</v>
      </c>
      <c r="E1053" s="22" t="s">
        <v>671</v>
      </c>
      <c r="F1053" s="22" t="s">
        <v>30</v>
      </c>
      <c r="G1053" s="23">
        <v>37113</v>
      </c>
      <c r="H1053" s="22" t="s">
        <v>35</v>
      </c>
      <c r="I1053" s="22" t="s">
        <v>40</v>
      </c>
      <c r="J1053" s="22" t="s">
        <v>32</v>
      </c>
      <c r="K1053" s="10" t="str">
        <f ca="1">DATEDIF('DATA PENDUDUK'!$G1053,TODAY(),"Y")&amp; " TAHUN"</f>
        <v>23 TAHUN</v>
      </c>
      <c r="L1053" s="24" t="s">
        <v>2114</v>
      </c>
    </row>
    <row r="1054" spans="1:12" ht="20.100000000000001" customHeight="1" x14ac:dyDescent="0.25">
      <c r="A1054" s="8">
        <f t="shared" si="16"/>
        <v>1051</v>
      </c>
      <c r="B1054" s="21" t="s">
        <v>2551</v>
      </c>
      <c r="C1054" s="21" t="s">
        <v>2560</v>
      </c>
      <c r="D1054" s="22" t="s">
        <v>2561</v>
      </c>
      <c r="E1054" s="22" t="s">
        <v>671</v>
      </c>
      <c r="F1054" s="22" t="s">
        <v>30</v>
      </c>
      <c r="G1054" s="23">
        <v>41020</v>
      </c>
      <c r="H1054" s="22" t="s">
        <v>35</v>
      </c>
      <c r="I1054" s="22" t="s">
        <v>31</v>
      </c>
      <c r="J1054" s="22" t="s">
        <v>32</v>
      </c>
      <c r="K1054" s="10" t="str">
        <f ca="1">DATEDIF('DATA PENDUDUK'!$G1054,TODAY(),"Y")&amp; " TAHUN"</f>
        <v>13 TAHUN</v>
      </c>
      <c r="L1054" s="24" t="s">
        <v>2114</v>
      </c>
    </row>
    <row r="1055" spans="1:12" ht="20.100000000000001" customHeight="1" x14ac:dyDescent="0.25">
      <c r="A1055" s="8">
        <f t="shared" si="16"/>
        <v>1052</v>
      </c>
      <c r="B1055" s="21" t="s">
        <v>2562</v>
      </c>
      <c r="C1055" s="21" t="s">
        <v>2563</v>
      </c>
      <c r="D1055" s="22" t="s">
        <v>2564</v>
      </c>
      <c r="E1055" s="22" t="s">
        <v>671</v>
      </c>
      <c r="F1055" s="22" t="s">
        <v>262</v>
      </c>
      <c r="G1055" s="23">
        <v>28490</v>
      </c>
      <c r="H1055" s="22" t="s">
        <v>35</v>
      </c>
      <c r="I1055" s="22" t="s">
        <v>19</v>
      </c>
      <c r="J1055" s="22" t="s">
        <v>20</v>
      </c>
      <c r="K1055" s="10" t="str">
        <f ca="1">DATEDIF('DATA PENDUDUK'!$G1055,TODAY(),"Y")&amp; " TAHUN"</f>
        <v>47 TAHUN</v>
      </c>
      <c r="L1055" s="24" t="s">
        <v>2114</v>
      </c>
    </row>
    <row r="1056" spans="1:12" ht="20.100000000000001" customHeight="1" x14ac:dyDescent="0.25">
      <c r="A1056" s="8">
        <f t="shared" si="16"/>
        <v>1053</v>
      </c>
      <c r="B1056" s="21" t="s">
        <v>2562</v>
      </c>
      <c r="C1056" s="21" t="s">
        <v>2565</v>
      </c>
      <c r="D1056" s="22" t="s">
        <v>2566</v>
      </c>
      <c r="E1056" s="22" t="s">
        <v>1306</v>
      </c>
      <c r="F1056" s="22" t="s">
        <v>353</v>
      </c>
      <c r="G1056" s="23">
        <v>28680</v>
      </c>
      <c r="H1056" s="22" t="s">
        <v>35</v>
      </c>
      <c r="I1056" s="22" t="s">
        <v>73</v>
      </c>
      <c r="J1056" s="22" t="s">
        <v>27</v>
      </c>
      <c r="K1056" s="10" t="str">
        <f ca="1">DATEDIF('DATA PENDUDUK'!$G1056,TODAY(),"Y")&amp; " TAHUN"</f>
        <v>47 TAHUN</v>
      </c>
      <c r="L1056" s="24" t="s">
        <v>2114</v>
      </c>
    </row>
    <row r="1057" spans="1:12" ht="20.100000000000001" customHeight="1" x14ac:dyDescent="0.25">
      <c r="A1057" s="8">
        <f t="shared" si="16"/>
        <v>1054</v>
      </c>
      <c r="B1057" s="21" t="s">
        <v>2562</v>
      </c>
      <c r="C1057" s="21" t="s">
        <v>2567</v>
      </c>
      <c r="D1057" s="22" t="s">
        <v>2568</v>
      </c>
      <c r="E1057" s="22" t="s">
        <v>671</v>
      </c>
      <c r="F1057" s="22" t="s">
        <v>30</v>
      </c>
      <c r="G1057" s="23">
        <v>36654</v>
      </c>
      <c r="H1057" s="22" t="s">
        <v>35</v>
      </c>
      <c r="I1057" s="22" t="s">
        <v>40</v>
      </c>
      <c r="J1057" s="22" t="s">
        <v>32</v>
      </c>
      <c r="K1057" s="10" t="str">
        <f ca="1">DATEDIF('DATA PENDUDUK'!$G1057,TODAY(),"Y")&amp; " TAHUN"</f>
        <v>25 TAHUN</v>
      </c>
      <c r="L1057" s="24" t="s">
        <v>2114</v>
      </c>
    </row>
    <row r="1058" spans="1:12" ht="20.100000000000001" customHeight="1" x14ac:dyDescent="0.25">
      <c r="A1058" s="8">
        <f t="shared" si="16"/>
        <v>1055</v>
      </c>
      <c r="B1058" s="21" t="s">
        <v>2562</v>
      </c>
      <c r="C1058" s="21" t="s">
        <v>2569</v>
      </c>
      <c r="D1058" s="22" t="s">
        <v>2570</v>
      </c>
      <c r="E1058" s="22" t="s">
        <v>671</v>
      </c>
      <c r="F1058" s="22" t="s">
        <v>629</v>
      </c>
      <c r="G1058" s="23">
        <v>42681</v>
      </c>
      <c r="H1058" s="22" t="s">
        <v>35</v>
      </c>
      <c r="I1058" s="22" t="s">
        <v>31</v>
      </c>
      <c r="J1058" s="22" t="s">
        <v>32</v>
      </c>
      <c r="K1058" s="10" t="str">
        <f ca="1">DATEDIF('DATA PENDUDUK'!$G1058,TODAY(),"Y")&amp; " TAHUN"</f>
        <v>8 TAHUN</v>
      </c>
      <c r="L1058" s="24" t="s">
        <v>2114</v>
      </c>
    </row>
    <row r="1059" spans="1:12" ht="20.100000000000001" customHeight="1" x14ac:dyDescent="0.25">
      <c r="A1059" s="8">
        <f t="shared" si="16"/>
        <v>1056</v>
      </c>
      <c r="B1059" s="21" t="s">
        <v>2562</v>
      </c>
      <c r="C1059" s="21" t="s">
        <v>2571</v>
      </c>
      <c r="D1059" s="22" t="s">
        <v>2572</v>
      </c>
      <c r="E1059" s="22" t="s">
        <v>671</v>
      </c>
      <c r="F1059" s="22" t="s">
        <v>30</v>
      </c>
      <c r="G1059" s="23">
        <v>43812</v>
      </c>
      <c r="H1059" s="22" t="s">
        <v>35</v>
      </c>
      <c r="I1059" s="22" t="s">
        <v>40</v>
      </c>
      <c r="J1059" s="22" t="s">
        <v>32</v>
      </c>
      <c r="K1059" s="10" t="str">
        <f ca="1">DATEDIF('DATA PENDUDUK'!$G1059,TODAY(),"Y")&amp; " TAHUN"</f>
        <v>5 TAHUN</v>
      </c>
      <c r="L1059" s="24" t="s">
        <v>2114</v>
      </c>
    </row>
    <row r="1060" spans="1:12" ht="20.100000000000001" customHeight="1" x14ac:dyDescent="0.25">
      <c r="A1060" s="8">
        <f t="shared" si="16"/>
        <v>1057</v>
      </c>
      <c r="B1060" s="21" t="s">
        <v>2573</v>
      </c>
      <c r="C1060" s="21" t="s">
        <v>2574</v>
      </c>
      <c r="D1060" s="22" t="s">
        <v>2575</v>
      </c>
      <c r="E1060" s="22" t="s">
        <v>1306</v>
      </c>
      <c r="F1060" s="22" t="s">
        <v>87</v>
      </c>
      <c r="G1060" s="23">
        <v>29317</v>
      </c>
      <c r="H1060" s="22" t="s">
        <v>35</v>
      </c>
      <c r="I1060" s="22" t="s">
        <v>26</v>
      </c>
      <c r="J1060" s="22" t="s">
        <v>20</v>
      </c>
      <c r="K1060" s="10" t="str">
        <f ca="1">DATEDIF('DATA PENDUDUK'!$G1060,TODAY(),"Y")&amp; " TAHUN"</f>
        <v>45 TAHUN</v>
      </c>
      <c r="L1060" s="24" t="s">
        <v>2114</v>
      </c>
    </row>
    <row r="1061" spans="1:12" ht="20.100000000000001" customHeight="1" x14ac:dyDescent="0.25">
      <c r="A1061" s="8">
        <f t="shared" si="16"/>
        <v>1058</v>
      </c>
      <c r="B1061" s="21" t="s">
        <v>2573</v>
      </c>
      <c r="C1061" s="21" t="s">
        <v>2576</v>
      </c>
      <c r="D1061" s="22" t="s">
        <v>2577</v>
      </c>
      <c r="E1061" s="22" t="s">
        <v>671</v>
      </c>
      <c r="F1061" s="22" t="s">
        <v>87</v>
      </c>
      <c r="G1061" s="23">
        <v>37618</v>
      </c>
      <c r="H1061" s="22" t="s">
        <v>35</v>
      </c>
      <c r="I1061" s="22" t="s">
        <v>40</v>
      </c>
      <c r="J1061" s="22" t="s">
        <v>32</v>
      </c>
      <c r="K1061" s="10" t="str">
        <f ca="1">DATEDIF('DATA PENDUDUK'!$G1061,TODAY(),"Y")&amp; " TAHUN"</f>
        <v>22 TAHUN</v>
      </c>
      <c r="L1061" s="24" t="s">
        <v>2114</v>
      </c>
    </row>
    <row r="1062" spans="1:12" ht="20.100000000000001" customHeight="1" x14ac:dyDescent="0.25">
      <c r="A1062" s="8">
        <f t="shared" si="16"/>
        <v>1059</v>
      </c>
      <c r="B1062" s="21" t="s">
        <v>2573</v>
      </c>
      <c r="C1062" s="21" t="s">
        <v>2578</v>
      </c>
      <c r="D1062" s="22" t="s">
        <v>2579</v>
      </c>
      <c r="E1062" s="22" t="s">
        <v>671</v>
      </c>
      <c r="F1062" s="22" t="s">
        <v>30</v>
      </c>
      <c r="G1062" s="23">
        <v>40360</v>
      </c>
      <c r="H1062" s="22" t="s">
        <v>35</v>
      </c>
      <c r="I1062" s="22" t="s">
        <v>31</v>
      </c>
      <c r="J1062" s="22" t="s">
        <v>32</v>
      </c>
      <c r="K1062" s="10" t="str">
        <f ca="1">DATEDIF('DATA PENDUDUK'!$G1062,TODAY(),"Y")&amp; " TAHUN"</f>
        <v>15 TAHUN</v>
      </c>
      <c r="L1062" s="24" t="s">
        <v>2114</v>
      </c>
    </row>
    <row r="1063" spans="1:12" ht="20.100000000000001" customHeight="1" x14ac:dyDescent="0.25">
      <c r="A1063" s="8">
        <f t="shared" si="16"/>
        <v>1060</v>
      </c>
      <c r="B1063" s="21" t="s">
        <v>2573</v>
      </c>
      <c r="C1063" s="21" t="s">
        <v>2580</v>
      </c>
      <c r="D1063" s="22" t="s">
        <v>2581</v>
      </c>
      <c r="E1063" s="22" t="s">
        <v>671</v>
      </c>
      <c r="F1063" s="22" t="s">
        <v>30</v>
      </c>
      <c r="G1063" s="23">
        <v>42944</v>
      </c>
      <c r="H1063" s="22" t="s">
        <v>35</v>
      </c>
      <c r="I1063" s="22" t="s">
        <v>31</v>
      </c>
      <c r="J1063" s="22" t="s">
        <v>32</v>
      </c>
      <c r="K1063" s="10" t="str">
        <f ca="1">DATEDIF('DATA PENDUDUK'!$G1063,TODAY(),"Y")&amp; " TAHUN"</f>
        <v>7 TAHUN</v>
      </c>
      <c r="L1063" s="24" t="s">
        <v>2114</v>
      </c>
    </row>
    <row r="1064" spans="1:12" ht="20.100000000000001" customHeight="1" x14ac:dyDescent="0.25">
      <c r="A1064" s="8">
        <f t="shared" si="16"/>
        <v>1061</v>
      </c>
      <c r="B1064" s="21" t="s">
        <v>2582</v>
      </c>
      <c r="C1064" s="21" t="s">
        <v>2583</v>
      </c>
      <c r="D1064" s="22" t="s">
        <v>2584</v>
      </c>
      <c r="E1064" s="22" t="s">
        <v>671</v>
      </c>
      <c r="F1064" s="22" t="s">
        <v>262</v>
      </c>
      <c r="G1064" s="23">
        <v>33369</v>
      </c>
      <c r="H1064" s="22" t="s">
        <v>35</v>
      </c>
      <c r="I1064" s="22" t="s">
        <v>19</v>
      </c>
      <c r="J1064" s="22" t="s">
        <v>20</v>
      </c>
      <c r="K1064" s="10" t="str">
        <f ca="1">DATEDIF('DATA PENDUDUK'!$G1064,TODAY(),"Y")&amp; " TAHUN"</f>
        <v>34 TAHUN</v>
      </c>
      <c r="L1064" s="24" t="s">
        <v>2114</v>
      </c>
    </row>
    <row r="1065" spans="1:12" ht="20.100000000000001" customHeight="1" x14ac:dyDescent="0.25">
      <c r="A1065" s="8">
        <f t="shared" si="16"/>
        <v>1062</v>
      </c>
      <c r="B1065" s="21" t="s">
        <v>2582</v>
      </c>
      <c r="C1065" s="21" t="s">
        <v>2585</v>
      </c>
      <c r="D1065" s="22" t="s">
        <v>2586</v>
      </c>
      <c r="E1065" s="22" t="s">
        <v>1306</v>
      </c>
      <c r="F1065" s="22" t="s">
        <v>110</v>
      </c>
      <c r="G1065" s="23">
        <v>32324</v>
      </c>
      <c r="H1065" s="22" t="s">
        <v>35</v>
      </c>
      <c r="I1065" s="22" t="s">
        <v>19</v>
      </c>
      <c r="J1065" s="22" t="s">
        <v>27</v>
      </c>
      <c r="K1065" s="10" t="str">
        <f ca="1">DATEDIF('DATA PENDUDUK'!$G1065,TODAY(),"Y")&amp; " TAHUN"</f>
        <v>37 TAHUN</v>
      </c>
      <c r="L1065" s="24" t="s">
        <v>2114</v>
      </c>
    </row>
    <row r="1066" spans="1:12" ht="20.100000000000001" customHeight="1" x14ac:dyDescent="0.25">
      <c r="A1066" s="8">
        <f t="shared" si="16"/>
        <v>1063</v>
      </c>
      <c r="B1066" s="21" t="s">
        <v>2582</v>
      </c>
      <c r="C1066" s="21" t="s">
        <v>2587</v>
      </c>
      <c r="D1066" s="22" t="s">
        <v>2588</v>
      </c>
      <c r="E1066" s="22" t="s">
        <v>1306</v>
      </c>
      <c r="F1066" s="22" t="s">
        <v>2132</v>
      </c>
      <c r="G1066" s="23">
        <v>45427</v>
      </c>
      <c r="H1066" s="22" t="s">
        <v>35</v>
      </c>
      <c r="I1066" s="22" t="s">
        <v>40</v>
      </c>
      <c r="J1066" s="22" t="s">
        <v>32</v>
      </c>
      <c r="K1066" s="10" t="str">
        <f ca="1">DATEDIF('DATA PENDUDUK'!$G1066,TODAY(),"Y")&amp; " TAHUN"</f>
        <v>1 TAHUN</v>
      </c>
      <c r="L1066" s="24" t="s">
        <v>2114</v>
      </c>
    </row>
    <row r="1067" spans="1:12" ht="20.100000000000001" customHeight="1" x14ac:dyDescent="0.25">
      <c r="A1067" s="8">
        <f t="shared" si="16"/>
        <v>1064</v>
      </c>
      <c r="B1067" s="21" t="s">
        <v>2589</v>
      </c>
      <c r="C1067" s="21" t="s">
        <v>2590</v>
      </c>
      <c r="D1067" s="22" t="s">
        <v>2591</v>
      </c>
      <c r="E1067" s="22" t="s">
        <v>16</v>
      </c>
      <c r="F1067" s="22" t="s">
        <v>2592</v>
      </c>
      <c r="G1067" s="23">
        <v>25752</v>
      </c>
      <c r="H1067" s="22" t="s">
        <v>438</v>
      </c>
      <c r="I1067" s="22" t="s">
        <v>2593</v>
      </c>
      <c r="J1067" s="22" t="s">
        <v>20</v>
      </c>
      <c r="K1067" s="10" t="str">
        <f ca="1">DATEDIF('DATA PENDUDUK'!$G1067,TODAY(),"Y")&amp; " TAHUN"</f>
        <v>55 TAHUN</v>
      </c>
      <c r="L1067" s="24" t="s">
        <v>2594</v>
      </c>
    </row>
    <row r="1068" spans="1:12" ht="20.100000000000001" customHeight="1" x14ac:dyDescent="0.25">
      <c r="A1068" s="8">
        <f t="shared" si="16"/>
        <v>1065</v>
      </c>
      <c r="B1068" s="21" t="s">
        <v>2589</v>
      </c>
      <c r="C1068" s="21" t="s">
        <v>2595</v>
      </c>
      <c r="D1068" s="22" t="s">
        <v>2596</v>
      </c>
      <c r="E1068" s="22" t="s">
        <v>24</v>
      </c>
      <c r="F1068" s="22" t="s">
        <v>2597</v>
      </c>
      <c r="G1068" s="23">
        <v>29739</v>
      </c>
      <c r="H1068" s="22" t="s">
        <v>438</v>
      </c>
      <c r="I1068" s="22" t="s">
        <v>2598</v>
      </c>
      <c r="J1068" s="22" t="s">
        <v>27</v>
      </c>
      <c r="K1068" s="10" t="str">
        <f ca="1">DATEDIF('DATA PENDUDUK'!$G1068,TODAY(),"Y")&amp; " TAHUN"</f>
        <v>44 TAHUN</v>
      </c>
      <c r="L1068" s="24" t="s">
        <v>2594</v>
      </c>
    </row>
    <row r="1069" spans="1:12" ht="20.100000000000001" customHeight="1" x14ac:dyDescent="0.25">
      <c r="A1069" s="8">
        <f t="shared" si="16"/>
        <v>1066</v>
      </c>
      <c r="B1069" s="21" t="s">
        <v>2589</v>
      </c>
      <c r="C1069" s="21" t="s">
        <v>2599</v>
      </c>
      <c r="D1069" s="22" t="s">
        <v>2600</v>
      </c>
      <c r="E1069" s="22" t="s">
        <v>16</v>
      </c>
      <c r="F1069" s="22" t="s">
        <v>2601</v>
      </c>
      <c r="G1069" s="23">
        <v>32765</v>
      </c>
      <c r="H1069" s="22" t="s">
        <v>438</v>
      </c>
      <c r="I1069" s="22" t="s">
        <v>40</v>
      </c>
      <c r="J1069" s="22" t="s">
        <v>32</v>
      </c>
      <c r="K1069" s="10" t="str">
        <f ca="1">DATEDIF('DATA PENDUDUK'!$G1069,TODAY(),"Y")&amp; " TAHUN"</f>
        <v>35 TAHUN</v>
      </c>
      <c r="L1069" s="24" t="s">
        <v>2594</v>
      </c>
    </row>
    <row r="1070" spans="1:12" ht="20.100000000000001" customHeight="1" x14ac:dyDescent="0.25">
      <c r="A1070" s="8">
        <f t="shared" si="16"/>
        <v>1067</v>
      </c>
      <c r="B1070" s="21" t="s">
        <v>2589</v>
      </c>
      <c r="C1070" s="21" t="s">
        <v>2602</v>
      </c>
      <c r="D1070" s="22" t="s">
        <v>2603</v>
      </c>
      <c r="E1070" s="22" t="s">
        <v>16</v>
      </c>
      <c r="F1070" s="22" t="s">
        <v>30</v>
      </c>
      <c r="G1070" s="23">
        <v>37451</v>
      </c>
      <c r="H1070" s="22" t="s">
        <v>438</v>
      </c>
      <c r="I1070" s="22" t="s">
        <v>40</v>
      </c>
      <c r="J1070" s="22" t="s">
        <v>32</v>
      </c>
      <c r="K1070" s="10" t="str">
        <f ca="1">DATEDIF('DATA PENDUDUK'!$G1070,TODAY(),"Y")&amp; " TAHUN"</f>
        <v>23 TAHUN</v>
      </c>
      <c r="L1070" s="24" t="s">
        <v>2594</v>
      </c>
    </row>
    <row r="1071" spans="1:12" ht="20.100000000000001" customHeight="1" x14ac:dyDescent="0.25">
      <c r="A1071" s="8">
        <f t="shared" si="16"/>
        <v>1068</v>
      </c>
      <c r="B1071" s="21" t="s">
        <v>2589</v>
      </c>
      <c r="C1071" s="21" t="s">
        <v>2604</v>
      </c>
      <c r="D1071" s="22" t="s">
        <v>2605</v>
      </c>
      <c r="E1071" s="22" t="s">
        <v>16</v>
      </c>
      <c r="F1071" s="22" t="s">
        <v>2601</v>
      </c>
      <c r="G1071" s="23">
        <v>38912</v>
      </c>
      <c r="H1071" s="22" t="s">
        <v>438</v>
      </c>
      <c r="I1071" s="22" t="s">
        <v>40</v>
      </c>
      <c r="J1071" s="22" t="s">
        <v>32</v>
      </c>
      <c r="K1071" s="10" t="str">
        <f ca="1">DATEDIF('DATA PENDUDUK'!$G1071,TODAY(),"Y")&amp; " TAHUN"</f>
        <v>19 TAHUN</v>
      </c>
      <c r="L1071" s="24" t="s">
        <v>2594</v>
      </c>
    </row>
    <row r="1072" spans="1:12" ht="20.100000000000001" customHeight="1" x14ac:dyDescent="0.25">
      <c r="A1072" s="8">
        <f t="shared" si="16"/>
        <v>1069</v>
      </c>
      <c r="B1072" s="21" t="s">
        <v>2589</v>
      </c>
      <c r="C1072" s="21" t="s">
        <v>2606</v>
      </c>
      <c r="D1072" s="22" t="s">
        <v>2607</v>
      </c>
      <c r="E1072" s="22" t="s">
        <v>16</v>
      </c>
      <c r="F1072" s="22" t="s">
        <v>2601</v>
      </c>
      <c r="G1072" s="23">
        <v>38912</v>
      </c>
      <c r="H1072" s="22" t="s">
        <v>438</v>
      </c>
      <c r="I1072" s="22" t="s">
        <v>40</v>
      </c>
      <c r="J1072" s="22" t="s">
        <v>32</v>
      </c>
      <c r="K1072" s="10" t="str">
        <f ca="1">DATEDIF('DATA PENDUDUK'!$G1072,TODAY(),"Y")&amp; " TAHUN"</f>
        <v>19 TAHUN</v>
      </c>
      <c r="L1072" s="24" t="s">
        <v>2594</v>
      </c>
    </row>
    <row r="1073" spans="1:12" ht="20.100000000000001" customHeight="1" x14ac:dyDescent="0.25">
      <c r="A1073" s="8">
        <f t="shared" si="16"/>
        <v>1070</v>
      </c>
      <c r="B1073" s="21" t="s">
        <v>2589</v>
      </c>
      <c r="C1073" s="21" t="s">
        <v>2608</v>
      </c>
      <c r="D1073" s="22" t="s">
        <v>2609</v>
      </c>
      <c r="E1073" s="22" t="s">
        <v>16</v>
      </c>
      <c r="F1073" s="22" t="s">
        <v>30</v>
      </c>
      <c r="G1073" s="23">
        <v>39877</v>
      </c>
      <c r="H1073" s="22" t="s">
        <v>438</v>
      </c>
      <c r="I1073" s="22" t="s">
        <v>40</v>
      </c>
      <c r="J1073" s="22" t="s">
        <v>32</v>
      </c>
      <c r="K1073" s="10" t="str">
        <f ca="1">DATEDIF('DATA PENDUDUK'!$G1073,TODAY(),"Y")&amp; " TAHUN"</f>
        <v>16 TAHUN</v>
      </c>
      <c r="L1073" s="24" t="s">
        <v>2594</v>
      </c>
    </row>
    <row r="1074" spans="1:12" ht="20.100000000000001" customHeight="1" x14ac:dyDescent="0.25">
      <c r="A1074" s="8">
        <f t="shared" si="16"/>
        <v>1071</v>
      </c>
      <c r="B1074" s="21" t="s">
        <v>2589</v>
      </c>
      <c r="C1074" s="21" t="s">
        <v>2610</v>
      </c>
      <c r="D1074" s="22" t="s">
        <v>2611</v>
      </c>
      <c r="E1074" s="22" t="s">
        <v>24</v>
      </c>
      <c r="F1074" s="22" t="s">
        <v>30</v>
      </c>
      <c r="G1074" s="23">
        <v>40852</v>
      </c>
      <c r="H1074" s="22" t="s">
        <v>438</v>
      </c>
      <c r="I1074" s="22" t="s">
        <v>40</v>
      </c>
      <c r="J1074" s="22" t="s">
        <v>32</v>
      </c>
      <c r="K1074" s="10" t="str">
        <f ca="1">DATEDIF('DATA PENDUDUK'!$G1074,TODAY(),"Y")&amp; " TAHUN"</f>
        <v>13 TAHUN</v>
      </c>
      <c r="L1074" s="24" t="s">
        <v>2594</v>
      </c>
    </row>
    <row r="1075" spans="1:12" ht="20.100000000000001" customHeight="1" x14ac:dyDescent="0.25">
      <c r="A1075" s="8">
        <f t="shared" si="16"/>
        <v>1072</v>
      </c>
      <c r="B1075" s="21" t="s">
        <v>2589</v>
      </c>
      <c r="C1075" s="21" t="s">
        <v>2612</v>
      </c>
      <c r="D1075" s="22" t="s">
        <v>2613</v>
      </c>
      <c r="E1075" s="22" t="s">
        <v>16</v>
      </c>
      <c r="F1075" s="22" t="s">
        <v>30</v>
      </c>
      <c r="G1075" s="23">
        <v>41553</v>
      </c>
      <c r="H1075" s="22" t="s">
        <v>438</v>
      </c>
      <c r="I1075" s="22" t="s">
        <v>40</v>
      </c>
      <c r="J1075" s="22" t="s">
        <v>32</v>
      </c>
      <c r="K1075" s="10" t="str">
        <f ca="1">DATEDIF('DATA PENDUDUK'!$G1075,TODAY(),"Y")&amp; " TAHUN"</f>
        <v>11 TAHUN</v>
      </c>
      <c r="L1075" s="24" t="s">
        <v>2594</v>
      </c>
    </row>
    <row r="1076" spans="1:12" ht="20.100000000000001" customHeight="1" x14ac:dyDescent="0.25">
      <c r="A1076" s="8">
        <f t="shared" si="16"/>
        <v>1073</v>
      </c>
      <c r="B1076" s="21" t="s">
        <v>2589</v>
      </c>
      <c r="C1076" s="21" t="s">
        <v>2614</v>
      </c>
      <c r="D1076" s="22" t="s">
        <v>2615</v>
      </c>
      <c r="E1076" s="22" t="s">
        <v>16</v>
      </c>
      <c r="F1076" s="22" t="s">
        <v>30</v>
      </c>
      <c r="G1076" s="23">
        <v>43156</v>
      </c>
      <c r="H1076" s="22" t="s">
        <v>438</v>
      </c>
      <c r="I1076" s="22" t="s">
        <v>40</v>
      </c>
      <c r="J1076" s="22" t="s">
        <v>32</v>
      </c>
      <c r="K1076" s="10" t="str">
        <f ca="1">DATEDIF('DATA PENDUDUK'!$G1076,TODAY(),"Y")&amp; " TAHUN"</f>
        <v>7 TAHUN</v>
      </c>
      <c r="L1076" s="24" t="s">
        <v>2594</v>
      </c>
    </row>
    <row r="1077" spans="1:12" ht="20.100000000000001" customHeight="1" x14ac:dyDescent="0.25">
      <c r="A1077" s="8">
        <f t="shared" si="16"/>
        <v>1074</v>
      </c>
      <c r="B1077" s="21" t="s">
        <v>2616</v>
      </c>
      <c r="C1077" s="21" t="s">
        <v>2617</v>
      </c>
      <c r="D1077" s="22" t="s">
        <v>2618</v>
      </c>
      <c r="E1077" s="22" t="s">
        <v>16</v>
      </c>
      <c r="F1077" s="22" t="s">
        <v>30</v>
      </c>
      <c r="G1077" s="23">
        <v>39263</v>
      </c>
      <c r="H1077" s="22" t="s">
        <v>2619</v>
      </c>
      <c r="I1077" s="22" t="s">
        <v>40</v>
      </c>
      <c r="J1077" s="22" t="s">
        <v>37</v>
      </c>
      <c r="K1077" s="10" t="str">
        <f ca="1">DATEDIF('DATA PENDUDUK'!$G1077,TODAY(),"Y")&amp; " TAHUN"</f>
        <v>18 TAHUN</v>
      </c>
      <c r="L1077" s="24" t="s">
        <v>2594</v>
      </c>
    </row>
    <row r="1078" spans="1:12" ht="20.100000000000001" customHeight="1" x14ac:dyDescent="0.25">
      <c r="A1078" s="8">
        <f t="shared" si="16"/>
        <v>1075</v>
      </c>
      <c r="B1078" s="21" t="s">
        <v>2616</v>
      </c>
      <c r="C1078" s="21" t="s">
        <v>2620</v>
      </c>
      <c r="D1078" s="22" t="s">
        <v>2621</v>
      </c>
      <c r="E1078" s="22" t="s">
        <v>24</v>
      </c>
      <c r="F1078" s="22" t="s">
        <v>30</v>
      </c>
      <c r="G1078" s="23">
        <v>39434</v>
      </c>
      <c r="H1078" s="22" t="s">
        <v>2619</v>
      </c>
      <c r="I1078" s="22" t="s">
        <v>40</v>
      </c>
      <c r="J1078" s="22" t="s">
        <v>37</v>
      </c>
      <c r="K1078" s="10" t="str">
        <f ca="1">DATEDIF('DATA PENDUDUK'!$G1078,TODAY(),"Y")&amp; " TAHUN"</f>
        <v>17 TAHUN</v>
      </c>
      <c r="L1078" s="24" t="s">
        <v>2594</v>
      </c>
    </row>
    <row r="1079" spans="1:12" ht="20.100000000000001" customHeight="1" x14ac:dyDescent="0.25">
      <c r="A1079" s="8">
        <f t="shared" si="16"/>
        <v>1076</v>
      </c>
      <c r="B1079" s="21" t="s">
        <v>2616</v>
      </c>
      <c r="C1079" s="21" t="s">
        <v>2622</v>
      </c>
      <c r="D1079" s="22" t="s">
        <v>2623</v>
      </c>
      <c r="E1079" s="22" t="s">
        <v>16</v>
      </c>
      <c r="F1079" s="22" t="s">
        <v>30</v>
      </c>
      <c r="G1079" s="23">
        <v>39434</v>
      </c>
      <c r="H1079" s="22" t="s">
        <v>2619</v>
      </c>
      <c r="I1079" s="22" t="s">
        <v>40</v>
      </c>
      <c r="J1079" s="22" t="s">
        <v>37</v>
      </c>
      <c r="K1079" s="10" t="str">
        <f ca="1">DATEDIF('DATA PENDUDUK'!$G1079,TODAY(),"Y")&amp; " TAHUN"</f>
        <v>17 TAHUN</v>
      </c>
      <c r="L1079" s="24" t="s">
        <v>2594</v>
      </c>
    </row>
    <row r="1080" spans="1:12" ht="20.100000000000001" customHeight="1" x14ac:dyDescent="0.25">
      <c r="A1080" s="8">
        <f t="shared" si="16"/>
        <v>1077</v>
      </c>
      <c r="B1080" s="21" t="s">
        <v>2624</v>
      </c>
      <c r="C1080" s="21" t="s">
        <v>2625</v>
      </c>
      <c r="D1080" s="22" t="s">
        <v>2626</v>
      </c>
      <c r="E1080" s="22" t="s">
        <v>16</v>
      </c>
      <c r="F1080" s="22" t="s">
        <v>2627</v>
      </c>
      <c r="G1080" s="23">
        <v>35525</v>
      </c>
      <c r="H1080" s="22" t="s">
        <v>438</v>
      </c>
      <c r="I1080" s="22" t="s">
        <v>31</v>
      </c>
      <c r="J1080" s="22" t="s">
        <v>20</v>
      </c>
      <c r="K1080" s="10" t="str">
        <f ca="1">DATEDIF('DATA PENDUDUK'!$G1080,TODAY(),"Y")&amp; " TAHUN"</f>
        <v>28 TAHUN</v>
      </c>
      <c r="L1080" s="24" t="s">
        <v>2594</v>
      </c>
    </row>
    <row r="1081" spans="1:12" ht="20.100000000000001" customHeight="1" x14ac:dyDescent="0.25">
      <c r="A1081" s="8">
        <f t="shared" si="16"/>
        <v>1078</v>
      </c>
      <c r="B1081" s="21" t="s">
        <v>2624</v>
      </c>
      <c r="C1081" s="21" t="s">
        <v>2628</v>
      </c>
      <c r="D1081" s="22" t="s">
        <v>2629</v>
      </c>
      <c r="E1081" s="22" t="s">
        <v>24</v>
      </c>
      <c r="F1081" s="22" t="s">
        <v>2630</v>
      </c>
      <c r="G1081" s="23">
        <v>34431</v>
      </c>
      <c r="H1081" s="22" t="s">
        <v>438</v>
      </c>
      <c r="I1081" s="22" t="s">
        <v>2598</v>
      </c>
      <c r="J1081" s="22" t="s">
        <v>27</v>
      </c>
      <c r="K1081" s="10" t="str">
        <f ca="1">DATEDIF('DATA PENDUDUK'!$G1081,TODAY(),"Y")&amp; " TAHUN"</f>
        <v>31 TAHUN</v>
      </c>
      <c r="L1081" s="24" t="s">
        <v>2594</v>
      </c>
    </row>
    <row r="1082" spans="1:12" ht="20.100000000000001" customHeight="1" x14ac:dyDescent="0.25">
      <c r="A1082" s="8">
        <f t="shared" si="16"/>
        <v>1079</v>
      </c>
      <c r="B1082" s="21" t="s">
        <v>2624</v>
      </c>
      <c r="C1082" s="21" t="s">
        <v>2631</v>
      </c>
      <c r="D1082" s="22" t="s">
        <v>2632</v>
      </c>
      <c r="E1082" s="22" t="s">
        <v>16</v>
      </c>
      <c r="F1082" s="22" t="s">
        <v>2630</v>
      </c>
      <c r="G1082" s="23">
        <v>38201</v>
      </c>
      <c r="H1082" s="22" t="s">
        <v>438</v>
      </c>
      <c r="I1082" s="22" t="s">
        <v>31</v>
      </c>
      <c r="J1082" s="22" t="s">
        <v>32</v>
      </c>
      <c r="K1082" s="10" t="str">
        <f ca="1">DATEDIF('DATA PENDUDUK'!$G1082,TODAY(),"Y")&amp; " TAHUN"</f>
        <v>20 TAHUN</v>
      </c>
      <c r="L1082" s="24" t="s">
        <v>2594</v>
      </c>
    </row>
    <row r="1083" spans="1:12" ht="20.100000000000001" customHeight="1" x14ac:dyDescent="0.25">
      <c r="A1083" s="8">
        <f t="shared" si="16"/>
        <v>1080</v>
      </c>
      <c r="B1083" s="21" t="s">
        <v>2624</v>
      </c>
      <c r="C1083" s="21" t="s">
        <v>2633</v>
      </c>
      <c r="D1083" s="22" t="s">
        <v>2634</v>
      </c>
      <c r="E1083" s="22" t="s">
        <v>16</v>
      </c>
      <c r="F1083" s="22" t="s">
        <v>2630</v>
      </c>
      <c r="G1083" s="23">
        <v>39937</v>
      </c>
      <c r="H1083" s="22" t="s">
        <v>438</v>
      </c>
      <c r="I1083" s="22" t="s">
        <v>31</v>
      </c>
      <c r="J1083" s="22" t="s">
        <v>32</v>
      </c>
      <c r="K1083" s="10" t="str">
        <f ca="1">DATEDIF('DATA PENDUDUK'!$G1083,TODAY(),"Y")&amp; " TAHUN"</f>
        <v>16 TAHUN</v>
      </c>
      <c r="L1083" s="24" t="s">
        <v>2594</v>
      </c>
    </row>
    <row r="1084" spans="1:12" ht="20.100000000000001" customHeight="1" x14ac:dyDescent="0.25">
      <c r="A1084" s="8">
        <f t="shared" si="16"/>
        <v>1081</v>
      </c>
      <c r="B1084" s="21" t="s">
        <v>2624</v>
      </c>
      <c r="C1084" s="21" t="s">
        <v>2635</v>
      </c>
      <c r="D1084" s="22" t="s">
        <v>2636</v>
      </c>
      <c r="E1084" s="22" t="s">
        <v>24</v>
      </c>
      <c r="F1084" s="22" t="s">
        <v>2630</v>
      </c>
      <c r="G1084" s="23">
        <v>40696</v>
      </c>
      <c r="H1084" s="22" t="s">
        <v>438</v>
      </c>
      <c r="I1084" s="22" t="s">
        <v>31</v>
      </c>
      <c r="J1084" s="22" t="s">
        <v>32</v>
      </c>
      <c r="K1084" s="10" t="str">
        <f ca="1">DATEDIF('DATA PENDUDUK'!$G1084,TODAY(),"Y")&amp; " TAHUN"</f>
        <v>14 TAHUN</v>
      </c>
      <c r="L1084" s="24" t="s">
        <v>2594</v>
      </c>
    </row>
    <row r="1085" spans="1:12" ht="20.100000000000001" customHeight="1" x14ac:dyDescent="0.25">
      <c r="A1085" s="8">
        <f t="shared" si="16"/>
        <v>1082</v>
      </c>
      <c r="B1085" s="21" t="s">
        <v>2637</v>
      </c>
      <c r="C1085" s="21" t="s">
        <v>2638</v>
      </c>
      <c r="D1085" s="22" t="s">
        <v>2639</v>
      </c>
      <c r="E1085" s="22" t="s">
        <v>16</v>
      </c>
      <c r="F1085" s="22" t="s">
        <v>2640</v>
      </c>
      <c r="G1085" s="23">
        <v>26644</v>
      </c>
      <c r="H1085" s="22" t="s">
        <v>438</v>
      </c>
      <c r="I1085" s="22" t="s">
        <v>789</v>
      </c>
      <c r="J1085" s="22" t="s">
        <v>20</v>
      </c>
      <c r="K1085" s="10" t="str">
        <f ca="1">DATEDIF('DATA PENDUDUK'!$G1085,TODAY(),"Y")&amp; " TAHUN"</f>
        <v>52 TAHUN</v>
      </c>
      <c r="L1085" s="24" t="s">
        <v>2594</v>
      </c>
    </row>
    <row r="1086" spans="1:12" ht="20.100000000000001" customHeight="1" x14ac:dyDescent="0.25">
      <c r="A1086" s="8">
        <f t="shared" si="16"/>
        <v>1083</v>
      </c>
      <c r="B1086" s="21" t="s">
        <v>2637</v>
      </c>
      <c r="C1086" s="21" t="s">
        <v>2641</v>
      </c>
      <c r="D1086" s="22" t="s">
        <v>2642</v>
      </c>
      <c r="E1086" s="22" t="s">
        <v>24</v>
      </c>
      <c r="F1086" s="22" t="s">
        <v>2640</v>
      </c>
      <c r="G1086" s="23">
        <v>25730</v>
      </c>
      <c r="H1086" s="22" t="s">
        <v>438</v>
      </c>
      <c r="I1086" s="22" t="s">
        <v>2598</v>
      </c>
      <c r="J1086" s="22" t="s">
        <v>27</v>
      </c>
      <c r="K1086" s="10" t="str">
        <f ca="1">DATEDIF('DATA PENDUDUK'!$G1086,TODAY(),"Y")&amp; " TAHUN"</f>
        <v>55 TAHUN</v>
      </c>
      <c r="L1086" s="24" t="s">
        <v>2594</v>
      </c>
    </row>
    <row r="1087" spans="1:12" ht="20.100000000000001" customHeight="1" x14ac:dyDescent="0.25">
      <c r="A1087" s="8">
        <f t="shared" si="16"/>
        <v>1084</v>
      </c>
      <c r="B1087" s="21" t="s">
        <v>2637</v>
      </c>
      <c r="C1087" s="21" t="s">
        <v>2643</v>
      </c>
      <c r="D1087" s="22" t="s">
        <v>2644</v>
      </c>
      <c r="E1087" s="22" t="s">
        <v>16</v>
      </c>
      <c r="F1087" s="22" t="s">
        <v>2645</v>
      </c>
      <c r="G1087" s="23">
        <v>34825</v>
      </c>
      <c r="H1087" s="22" t="s">
        <v>438</v>
      </c>
      <c r="I1087" s="22" t="s">
        <v>40</v>
      </c>
      <c r="J1087" s="22" t="s">
        <v>32</v>
      </c>
      <c r="K1087" s="10" t="str">
        <f ca="1">DATEDIF('DATA PENDUDUK'!$G1087,TODAY(),"Y")&amp; " TAHUN"</f>
        <v>30 TAHUN</v>
      </c>
      <c r="L1087" s="24" t="s">
        <v>2594</v>
      </c>
    </row>
    <row r="1088" spans="1:12" ht="20.100000000000001" customHeight="1" x14ac:dyDescent="0.25">
      <c r="A1088" s="8">
        <f t="shared" si="16"/>
        <v>1085</v>
      </c>
      <c r="B1088" s="21" t="s">
        <v>2637</v>
      </c>
      <c r="C1088" s="21" t="s">
        <v>2646</v>
      </c>
      <c r="D1088" s="22" t="s">
        <v>2647</v>
      </c>
      <c r="E1088" s="22" t="s">
        <v>16</v>
      </c>
      <c r="F1088" s="22" t="s">
        <v>2640</v>
      </c>
      <c r="G1088" s="23">
        <v>35057</v>
      </c>
      <c r="H1088" s="22" t="s">
        <v>438</v>
      </c>
      <c r="I1088" s="22" t="s">
        <v>40</v>
      </c>
      <c r="J1088" s="22" t="s">
        <v>32</v>
      </c>
      <c r="K1088" s="10" t="str">
        <f ca="1">DATEDIF('DATA PENDUDUK'!$G1088,TODAY(),"Y")&amp; " TAHUN"</f>
        <v>29 TAHUN</v>
      </c>
      <c r="L1088" s="24" t="s">
        <v>2594</v>
      </c>
    </row>
    <row r="1089" spans="1:12" ht="20.100000000000001" customHeight="1" x14ac:dyDescent="0.25">
      <c r="A1089" s="8">
        <f t="shared" si="16"/>
        <v>1086</v>
      </c>
      <c r="B1089" s="21" t="s">
        <v>2637</v>
      </c>
      <c r="C1089" s="21" t="s">
        <v>2648</v>
      </c>
      <c r="D1089" s="22" t="s">
        <v>2649</v>
      </c>
      <c r="E1089" s="22" t="s">
        <v>24</v>
      </c>
      <c r="F1089" s="22" t="s">
        <v>30</v>
      </c>
      <c r="G1089" s="23">
        <v>36029</v>
      </c>
      <c r="H1089" s="22" t="s">
        <v>438</v>
      </c>
      <c r="I1089" s="22" t="s">
        <v>40</v>
      </c>
      <c r="J1089" s="22" t="s">
        <v>32</v>
      </c>
      <c r="K1089" s="10" t="str">
        <f ca="1">DATEDIF('DATA PENDUDUK'!$G1089,TODAY(),"Y")&amp; " TAHUN"</f>
        <v>26 TAHUN</v>
      </c>
      <c r="L1089" s="24" t="s">
        <v>2594</v>
      </c>
    </row>
    <row r="1090" spans="1:12" ht="20.100000000000001" customHeight="1" x14ac:dyDescent="0.25">
      <c r="A1090" s="8">
        <f t="shared" si="16"/>
        <v>1087</v>
      </c>
      <c r="B1090" s="21" t="s">
        <v>2637</v>
      </c>
      <c r="C1090" s="21" t="s">
        <v>2650</v>
      </c>
      <c r="D1090" s="22" t="s">
        <v>2651</v>
      </c>
      <c r="E1090" s="22" t="s">
        <v>24</v>
      </c>
      <c r="F1090" s="22" t="s">
        <v>2640</v>
      </c>
      <c r="G1090" s="23">
        <v>38715</v>
      </c>
      <c r="H1090" s="22" t="s">
        <v>438</v>
      </c>
      <c r="I1090" s="22" t="s">
        <v>31</v>
      </c>
      <c r="J1090" s="22" t="s">
        <v>32</v>
      </c>
      <c r="K1090" s="10" t="str">
        <f ca="1">DATEDIF('DATA PENDUDUK'!$G1090,TODAY(),"Y")&amp; " TAHUN"</f>
        <v>19 TAHUN</v>
      </c>
      <c r="L1090" s="24" t="s">
        <v>2594</v>
      </c>
    </row>
    <row r="1091" spans="1:12" ht="20.100000000000001" customHeight="1" x14ac:dyDescent="0.25">
      <c r="A1091" s="8">
        <f t="shared" si="16"/>
        <v>1088</v>
      </c>
      <c r="B1091" s="21" t="s">
        <v>2637</v>
      </c>
      <c r="C1091" s="21" t="s">
        <v>2652</v>
      </c>
      <c r="D1091" s="22" t="s">
        <v>2653</v>
      </c>
      <c r="E1091" s="22" t="s">
        <v>16</v>
      </c>
      <c r="F1091" s="22" t="s">
        <v>2640</v>
      </c>
      <c r="G1091" s="23">
        <v>39955</v>
      </c>
      <c r="H1091" s="22" t="s">
        <v>438</v>
      </c>
      <c r="I1091" s="22" t="s">
        <v>40</v>
      </c>
      <c r="J1091" s="22" t="s">
        <v>32</v>
      </c>
      <c r="K1091" s="10" t="str">
        <f ca="1">DATEDIF('DATA PENDUDUK'!$G1091,TODAY(),"Y")&amp; " TAHUN"</f>
        <v>16 TAHUN</v>
      </c>
      <c r="L1091" s="24" t="s">
        <v>2594</v>
      </c>
    </row>
    <row r="1092" spans="1:12" ht="20.100000000000001" customHeight="1" x14ac:dyDescent="0.25">
      <c r="A1092" s="8">
        <f t="shared" si="16"/>
        <v>1089</v>
      </c>
      <c r="B1092" s="21" t="s">
        <v>2637</v>
      </c>
      <c r="C1092" s="21" t="s">
        <v>2654</v>
      </c>
      <c r="D1092" s="22" t="s">
        <v>2655</v>
      </c>
      <c r="E1092" s="22" t="s">
        <v>16</v>
      </c>
      <c r="F1092" s="22" t="s">
        <v>1953</v>
      </c>
      <c r="G1092" s="23">
        <v>36693</v>
      </c>
      <c r="H1092" s="22" t="s">
        <v>438</v>
      </c>
      <c r="I1092" s="22" t="s">
        <v>31</v>
      </c>
      <c r="J1092" s="22" t="s">
        <v>37</v>
      </c>
      <c r="K1092" s="10" t="str">
        <f ca="1">DATEDIF('DATA PENDUDUK'!$G1092,TODAY(),"Y")&amp; " TAHUN"</f>
        <v>25 TAHUN</v>
      </c>
      <c r="L1092" s="24" t="s">
        <v>2594</v>
      </c>
    </row>
    <row r="1093" spans="1:12" ht="20.100000000000001" customHeight="1" x14ac:dyDescent="0.25">
      <c r="A1093" s="8">
        <f t="shared" si="16"/>
        <v>1090</v>
      </c>
      <c r="B1093" s="21" t="s">
        <v>2637</v>
      </c>
      <c r="C1093" s="21" t="s">
        <v>2656</v>
      </c>
      <c r="D1093" s="22" t="s">
        <v>2657</v>
      </c>
      <c r="E1093" s="22" t="s">
        <v>16</v>
      </c>
      <c r="F1093" s="22" t="s">
        <v>1953</v>
      </c>
      <c r="G1093" s="23">
        <v>40064</v>
      </c>
      <c r="H1093" s="22" t="s">
        <v>438</v>
      </c>
      <c r="I1093" s="22" t="s">
        <v>31</v>
      </c>
      <c r="J1093" s="22" t="s">
        <v>37</v>
      </c>
      <c r="K1093" s="10" t="str">
        <f ca="1">DATEDIF('DATA PENDUDUK'!$G1093,TODAY(),"Y")&amp; " TAHUN"</f>
        <v>15 TAHUN</v>
      </c>
      <c r="L1093" s="24" t="s">
        <v>2594</v>
      </c>
    </row>
    <row r="1094" spans="1:12" ht="20.100000000000001" customHeight="1" x14ac:dyDescent="0.25">
      <c r="A1094" s="8">
        <f t="shared" ref="A1094:A1157" si="17">IF(D1094="","",ROW()-3)</f>
        <v>1091</v>
      </c>
      <c r="B1094" s="21" t="s">
        <v>2658</v>
      </c>
      <c r="C1094" s="21" t="s">
        <v>2659</v>
      </c>
      <c r="D1094" s="22" t="s">
        <v>2660</v>
      </c>
      <c r="E1094" s="22" t="s">
        <v>16</v>
      </c>
      <c r="F1094" s="22" t="s">
        <v>869</v>
      </c>
      <c r="G1094" s="23">
        <v>26004</v>
      </c>
      <c r="H1094" s="22" t="s">
        <v>438</v>
      </c>
      <c r="I1094" s="22" t="s">
        <v>2593</v>
      </c>
      <c r="J1094" s="22" t="s">
        <v>20</v>
      </c>
      <c r="K1094" s="10" t="str">
        <f ca="1">DATEDIF('DATA PENDUDUK'!$G1094,TODAY(),"Y")&amp; " TAHUN"</f>
        <v>54 TAHUN</v>
      </c>
      <c r="L1094" s="24" t="s">
        <v>2594</v>
      </c>
    </row>
    <row r="1095" spans="1:12" ht="20.100000000000001" customHeight="1" x14ac:dyDescent="0.25">
      <c r="A1095" s="8">
        <f t="shared" si="17"/>
        <v>1092</v>
      </c>
      <c r="B1095" s="21" t="s">
        <v>2658</v>
      </c>
      <c r="C1095" s="21" t="s">
        <v>2661</v>
      </c>
      <c r="D1095" s="22" t="s">
        <v>2662</v>
      </c>
      <c r="E1095" s="22" t="s">
        <v>24</v>
      </c>
      <c r="F1095" s="22" t="s">
        <v>869</v>
      </c>
      <c r="G1095" s="23">
        <v>26461</v>
      </c>
      <c r="H1095" s="22" t="s">
        <v>438</v>
      </c>
      <c r="I1095" s="22" t="s">
        <v>2598</v>
      </c>
      <c r="J1095" s="22" t="s">
        <v>27</v>
      </c>
      <c r="K1095" s="10" t="str">
        <f ca="1">DATEDIF('DATA PENDUDUK'!$G1095,TODAY(),"Y")&amp; " TAHUN"</f>
        <v>53 TAHUN</v>
      </c>
      <c r="L1095" s="24" t="s">
        <v>2594</v>
      </c>
    </row>
    <row r="1096" spans="1:12" ht="20.100000000000001" customHeight="1" x14ac:dyDescent="0.25">
      <c r="A1096" s="8">
        <f t="shared" si="17"/>
        <v>1093</v>
      </c>
      <c r="B1096" s="21" t="s">
        <v>2658</v>
      </c>
      <c r="C1096" s="21" t="s">
        <v>2663</v>
      </c>
      <c r="D1096" s="22" t="s">
        <v>2664</v>
      </c>
      <c r="E1096" s="22" t="s">
        <v>24</v>
      </c>
      <c r="F1096" s="22" t="s">
        <v>869</v>
      </c>
      <c r="G1096" s="23">
        <v>32702</v>
      </c>
      <c r="H1096" s="22" t="s">
        <v>438</v>
      </c>
      <c r="I1096" s="22" t="s">
        <v>40</v>
      </c>
      <c r="J1096" s="22" t="s">
        <v>32</v>
      </c>
      <c r="K1096" s="10" t="str">
        <f ca="1">DATEDIF('DATA PENDUDUK'!$G1096,TODAY(),"Y")&amp; " TAHUN"</f>
        <v>36 TAHUN</v>
      </c>
      <c r="L1096" s="24" t="s">
        <v>2594</v>
      </c>
    </row>
    <row r="1097" spans="1:12" ht="20.100000000000001" customHeight="1" x14ac:dyDescent="0.25">
      <c r="A1097" s="8">
        <f t="shared" si="17"/>
        <v>1094</v>
      </c>
      <c r="B1097" s="21" t="s">
        <v>2658</v>
      </c>
      <c r="C1097" s="21" t="s">
        <v>2665</v>
      </c>
      <c r="D1097" s="22" t="s">
        <v>2666</v>
      </c>
      <c r="E1097" s="22" t="s">
        <v>16</v>
      </c>
      <c r="F1097" s="22" t="s">
        <v>2667</v>
      </c>
      <c r="G1097" s="23">
        <v>37378</v>
      </c>
      <c r="H1097" s="22" t="s">
        <v>438</v>
      </c>
      <c r="I1097" s="22" t="s">
        <v>40</v>
      </c>
      <c r="J1097" s="22" t="s">
        <v>32</v>
      </c>
      <c r="K1097" s="10" t="str">
        <f ca="1">DATEDIF('DATA PENDUDUK'!$G1097,TODAY(),"Y")&amp; " TAHUN"</f>
        <v>23 TAHUN</v>
      </c>
      <c r="L1097" s="24" t="s">
        <v>2594</v>
      </c>
    </row>
    <row r="1098" spans="1:12" ht="20.100000000000001" customHeight="1" x14ac:dyDescent="0.25">
      <c r="A1098" s="8">
        <f t="shared" si="17"/>
        <v>1095</v>
      </c>
      <c r="B1098" s="21" t="s">
        <v>2658</v>
      </c>
      <c r="C1098" s="21" t="s">
        <v>2668</v>
      </c>
      <c r="D1098" s="22" t="s">
        <v>2669</v>
      </c>
      <c r="E1098" s="22" t="s">
        <v>24</v>
      </c>
      <c r="F1098" s="22" t="s">
        <v>2670</v>
      </c>
      <c r="G1098" s="23">
        <v>39268</v>
      </c>
      <c r="H1098" s="22" t="s">
        <v>438</v>
      </c>
      <c r="I1098" s="22" t="s">
        <v>31</v>
      </c>
      <c r="J1098" s="22" t="s">
        <v>37</v>
      </c>
      <c r="K1098" s="10" t="str">
        <f ca="1">DATEDIF('DATA PENDUDUK'!$G1098,TODAY(),"Y")&amp; " TAHUN"</f>
        <v>18 TAHUN</v>
      </c>
      <c r="L1098" s="24" t="s">
        <v>2594</v>
      </c>
    </row>
    <row r="1099" spans="1:12" ht="20.100000000000001" customHeight="1" x14ac:dyDescent="0.25">
      <c r="A1099" s="8">
        <f t="shared" si="17"/>
        <v>1096</v>
      </c>
      <c r="B1099" s="21" t="s">
        <v>2671</v>
      </c>
      <c r="C1099" s="21" t="s">
        <v>2672</v>
      </c>
      <c r="D1099" s="22" t="s">
        <v>2673</v>
      </c>
      <c r="E1099" s="22" t="s">
        <v>16</v>
      </c>
      <c r="F1099" s="22" t="s">
        <v>2674</v>
      </c>
      <c r="G1099" s="23">
        <v>25750</v>
      </c>
      <c r="H1099" s="22" t="s">
        <v>438</v>
      </c>
      <c r="I1099" s="22" t="s">
        <v>2593</v>
      </c>
      <c r="J1099" s="22" t="s">
        <v>20</v>
      </c>
      <c r="K1099" s="10" t="str">
        <f ca="1">DATEDIF('DATA PENDUDUK'!$G1099,TODAY(),"Y")&amp; " TAHUN"</f>
        <v>55 TAHUN</v>
      </c>
      <c r="L1099" s="24" t="s">
        <v>2594</v>
      </c>
    </row>
    <row r="1100" spans="1:12" ht="20.100000000000001" customHeight="1" x14ac:dyDescent="0.25">
      <c r="A1100" s="8">
        <f t="shared" si="17"/>
        <v>1097</v>
      </c>
      <c r="B1100" s="21" t="s">
        <v>2616</v>
      </c>
      <c r="C1100" s="21" t="s">
        <v>2675</v>
      </c>
      <c r="D1100" s="22" t="s">
        <v>2676</v>
      </c>
      <c r="E1100" s="22" t="s">
        <v>2677</v>
      </c>
      <c r="F1100" s="22" t="s">
        <v>905</v>
      </c>
      <c r="G1100" s="23">
        <v>26396</v>
      </c>
      <c r="H1100" s="22" t="s">
        <v>2619</v>
      </c>
      <c r="I1100" s="22" t="s">
        <v>73</v>
      </c>
      <c r="J1100" s="22" t="s">
        <v>20</v>
      </c>
      <c r="K1100" s="10" t="str">
        <f ca="1">DATEDIF('DATA PENDUDUK'!$G1100,TODAY(),"Y")&amp; " TAHUN"</f>
        <v>53 TAHUN</v>
      </c>
      <c r="L1100" s="24" t="s">
        <v>2594</v>
      </c>
    </row>
    <row r="1101" spans="1:12" ht="20.100000000000001" customHeight="1" x14ac:dyDescent="0.25">
      <c r="A1101" s="8">
        <f t="shared" si="17"/>
        <v>1098</v>
      </c>
      <c r="B1101" s="21" t="s">
        <v>2616</v>
      </c>
      <c r="C1101" s="21" t="s">
        <v>2678</v>
      </c>
      <c r="D1101" s="22" t="s">
        <v>2679</v>
      </c>
      <c r="E1101" s="22" t="s">
        <v>24</v>
      </c>
      <c r="F1101" s="22" t="s">
        <v>2680</v>
      </c>
      <c r="G1101" s="23">
        <v>27241</v>
      </c>
      <c r="H1101" s="22" t="s">
        <v>2619</v>
      </c>
      <c r="I1101" s="22" t="s">
        <v>2598</v>
      </c>
      <c r="J1101" s="22" t="s">
        <v>27</v>
      </c>
      <c r="K1101" s="10" t="str">
        <f ca="1">DATEDIF('DATA PENDUDUK'!$G1101,TODAY(),"Y")&amp; " TAHUN"</f>
        <v>50 TAHUN</v>
      </c>
      <c r="L1101" s="24" t="s">
        <v>2594</v>
      </c>
    </row>
    <row r="1102" spans="1:12" ht="20.100000000000001" customHeight="1" x14ac:dyDescent="0.25">
      <c r="A1102" s="8">
        <f t="shared" si="17"/>
        <v>1099</v>
      </c>
      <c r="B1102" s="21" t="s">
        <v>2616</v>
      </c>
      <c r="C1102" s="21" t="s">
        <v>2681</v>
      </c>
      <c r="D1102" s="22" t="s">
        <v>2682</v>
      </c>
      <c r="E1102" s="22" t="s">
        <v>16</v>
      </c>
      <c r="F1102" s="22" t="s">
        <v>955</v>
      </c>
      <c r="G1102" s="23">
        <v>35537</v>
      </c>
      <c r="H1102" s="22" t="s">
        <v>2619</v>
      </c>
      <c r="I1102" s="22" t="s">
        <v>31</v>
      </c>
      <c r="J1102" s="22" t="s">
        <v>32</v>
      </c>
      <c r="K1102" s="10" t="str">
        <f ca="1">DATEDIF('DATA PENDUDUK'!$G1102,TODAY(),"Y")&amp; " TAHUN"</f>
        <v>28 TAHUN</v>
      </c>
      <c r="L1102" s="24" t="s">
        <v>2594</v>
      </c>
    </row>
    <row r="1103" spans="1:12" ht="20.100000000000001" customHeight="1" x14ac:dyDescent="0.25">
      <c r="A1103" s="8">
        <f t="shared" si="17"/>
        <v>1100</v>
      </c>
      <c r="B1103" s="21" t="s">
        <v>2616</v>
      </c>
      <c r="C1103" s="21" t="s">
        <v>2683</v>
      </c>
      <c r="D1103" s="22" t="s">
        <v>2684</v>
      </c>
      <c r="E1103" s="22" t="s">
        <v>16</v>
      </c>
      <c r="F1103" s="22" t="s">
        <v>955</v>
      </c>
      <c r="G1103" s="23">
        <v>36314</v>
      </c>
      <c r="H1103" s="22" t="s">
        <v>2619</v>
      </c>
      <c r="I1103" s="22" t="s">
        <v>31</v>
      </c>
      <c r="J1103" s="22" t="s">
        <v>32</v>
      </c>
      <c r="K1103" s="10" t="str">
        <f ca="1">DATEDIF('DATA PENDUDUK'!$G1103,TODAY(),"Y")&amp; " TAHUN"</f>
        <v>26 TAHUN</v>
      </c>
      <c r="L1103" s="24" t="s">
        <v>2594</v>
      </c>
    </row>
    <row r="1104" spans="1:12" ht="20.100000000000001" customHeight="1" x14ac:dyDescent="0.25">
      <c r="A1104" s="8">
        <f t="shared" si="17"/>
        <v>1101</v>
      </c>
      <c r="B1104" s="21" t="s">
        <v>2616</v>
      </c>
      <c r="C1104" s="21" t="s">
        <v>2685</v>
      </c>
      <c r="D1104" s="22" t="s">
        <v>2686</v>
      </c>
      <c r="E1104" s="22" t="s">
        <v>24</v>
      </c>
      <c r="F1104" s="22" t="s">
        <v>955</v>
      </c>
      <c r="G1104" s="23">
        <v>36524</v>
      </c>
      <c r="H1104" s="22" t="s">
        <v>2619</v>
      </c>
      <c r="I1104" s="22" t="s">
        <v>31</v>
      </c>
      <c r="J1104" s="22" t="s">
        <v>32</v>
      </c>
      <c r="K1104" s="10" t="str">
        <f ca="1">DATEDIF('DATA PENDUDUK'!$G1104,TODAY(),"Y")&amp; " TAHUN"</f>
        <v>25 TAHUN</v>
      </c>
      <c r="L1104" s="24" t="s">
        <v>2594</v>
      </c>
    </row>
    <row r="1105" spans="1:12" ht="20.100000000000001" customHeight="1" x14ac:dyDescent="0.25">
      <c r="A1105" s="8">
        <f t="shared" si="17"/>
        <v>1102</v>
      </c>
      <c r="B1105" s="21" t="s">
        <v>2616</v>
      </c>
      <c r="C1105" s="21" t="s">
        <v>2687</v>
      </c>
      <c r="D1105" s="22" t="s">
        <v>2688</v>
      </c>
      <c r="E1105" s="22" t="s">
        <v>16</v>
      </c>
      <c r="F1105" s="22" t="s">
        <v>2630</v>
      </c>
      <c r="G1105" s="23">
        <v>38112</v>
      </c>
      <c r="H1105" s="22" t="s">
        <v>438</v>
      </c>
      <c r="I1105" s="22" t="s">
        <v>31</v>
      </c>
      <c r="J1105" s="22" t="s">
        <v>32</v>
      </c>
      <c r="K1105" s="10" t="str">
        <f ca="1">DATEDIF('DATA PENDUDUK'!$G1105,TODAY(),"Y")&amp; " TAHUN"</f>
        <v>21 TAHUN</v>
      </c>
      <c r="L1105" s="24" t="s">
        <v>2594</v>
      </c>
    </row>
    <row r="1106" spans="1:12" ht="20.100000000000001" customHeight="1" x14ac:dyDescent="0.25">
      <c r="A1106" s="8">
        <f t="shared" si="17"/>
        <v>1103</v>
      </c>
      <c r="B1106" s="21" t="s">
        <v>2616</v>
      </c>
      <c r="C1106" s="21" t="s">
        <v>2689</v>
      </c>
      <c r="D1106" s="22" t="s">
        <v>2690</v>
      </c>
      <c r="E1106" s="22" t="s">
        <v>24</v>
      </c>
      <c r="F1106" s="22" t="s">
        <v>30</v>
      </c>
      <c r="G1106" s="23">
        <v>38781</v>
      </c>
      <c r="H1106" s="22" t="s">
        <v>438</v>
      </c>
      <c r="I1106" s="22" t="s">
        <v>31</v>
      </c>
      <c r="J1106" s="22" t="s">
        <v>32</v>
      </c>
      <c r="K1106" s="10" t="str">
        <f ca="1">DATEDIF('DATA PENDUDUK'!$G1106,TODAY(),"Y")&amp; " TAHUN"</f>
        <v>19 TAHUN</v>
      </c>
      <c r="L1106" s="24" t="s">
        <v>2594</v>
      </c>
    </row>
    <row r="1107" spans="1:12" ht="20.100000000000001" customHeight="1" x14ac:dyDescent="0.25">
      <c r="A1107" s="8">
        <f t="shared" si="17"/>
        <v>1104</v>
      </c>
      <c r="B1107" s="21" t="s">
        <v>2616</v>
      </c>
      <c r="C1107" s="21" t="s">
        <v>2691</v>
      </c>
      <c r="D1107" s="22" t="s">
        <v>2692</v>
      </c>
      <c r="E1107" s="22" t="s">
        <v>24</v>
      </c>
      <c r="F1107" s="22" t="s">
        <v>30</v>
      </c>
      <c r="G1107" s="23">
        <v>39944</v>
      </c>
      <c r="H1107" s="22" t="s">
        <v>2619</v>
      </c>
      <c r="I1107" s="22" t="s">
        <v>40</v>
      </c>
      <c r="J1107" s="22" t="s">
        <v>32</v>
      </c>
      <c r="K1107" s="10" t="str">
        <f ca="1">DATEDIF('DATA PENDUDUK'!$G1107,TODAY(),"Y")&amp; " TAHUN"</f>
        <v>16 TAHUN</v>
      </c>
      <c r="L1107" s="24" t="s">
        <v>2594</v>
      </c>
    </row>
    <row r="1108" spans="1:12" ht="20.100000000000001" customHeight="1" x14ac:dyDescent="0.25">
      <c r="A1108" s="8">
        <f t="shared" si="17"/>
        <v>1105</v>
      </c>
      <c r="B1108" s="21" t="s">
        <v>2616</v>
      </c>
      <c r="C1108" s="21" t="s">
        <v>2693</v>
      </c>
      <c r="D1108" s="22" t="s">
        <v>2694</v>
      </c>
      <c r="E1108" s="22" t="s">
        <v>24</v>
      </c>
      <c r="F1108" s="22" t="s">
        <v>30</v>
      </c>
      <c r="G1108" s="23">
        <v>37010</v>
      </c>
      <c r="H1108" s="22" t="s">
        <v>2619</v>
      </c>
      <c r="I1108" s="22" t="s">
        <v>31</v>
      </c>
      <c r="J1108" s="22" t="s">
        <v>37</v>
      </c>
      <c r="K1108" s="10" t="str">
        <f ca="1">DATEDIF('DATA PENDUDUK'!$G1108,TODAY(),"Y")&amp; " TAHUN"</f>
        <v>24 TAHUN</v>
      </c>
      <c r="L1108" s="24" t="s">
        <v>2594</v>
      </c>
    </row>
    <row r="1109" spans="1:12" ht="20.100000000000001" customHeight="1" x14ac:dyDescent="0.25">
      <c r="A1109" s="8">
        <f t="shared" si="17"/>
        <v>1106</v>
      </c>
      <c r="B1109" s="21" t="s">
        <v>2616</v>
      </c>
      <c r="C1109" s="21" t="s">
        <v>2695</v>
      </c>
      <c r="D1109" s="22" t="s">
        <v>2696</v>
      </c>
      <c r="E1109" s="22" t="s">
        <v>24</v>
      </c>
      <c r="F1109" s="22" t="s">
        <v>2697</v>
      </c>
      <c r="G1109" s="23">
        <v>37402</v>
      </c>
      <c r="H1109" s="22" t="s">
        <v>438</v>
      </c>
      <c r="I1109" s="22" t="s">
        <v>31</v>
      </c>
      <c r="J1109" s="22" t="s">
        <v>37</v>
      </c>
      <c r="K1109" s="10" t="str">
        <f ca="1">DATEDIF('DATA PENDUDUK'!$G1109,TODAY(),"Y")&amp; " TAHUN"</f>
        <v>23 TAHUN</v>
      </c>
      <c r="L1109" s="24" t="s">
        <v>2594</v>
      </c>
    </row>
    <row r="1110" spans="1:12" ht="20.100000000000001" customHeight="1" x14ac:dyDescent="0.25">
      <c r="A1110" s="8">
        <f t="shared" si="17"/>
        <v>1107</v>
      </c>
      <c r="B1110" s="21" t="s">
        <v>2698</v>
      </c>
      <c r="C1110" s="21" t="s">
        <v>2699</v>
      </c>
      <c r="D1110" s="22" t="s">
        <v>2700</v>
      </c>
      <c r="E1110" s="22" t="s">
        <v>24</v>
      </c>
      <c r="F1110" s="22" t="s">
        <v>2701</v>
      </c>
      <c r="G1110" s="23">
        <v>33793</v>
      </c>
      <c r="H1110" s="22" t="s">
        <v>438</v>
      </c>
      <c r="I1110" s="22" t="s">
        <v>40</v>
      </c>
      <c r="J1110" s="22" t="s">
        <v>20</v>
      </c>
      <c r="K1110" s="10" t="str">
        <f ca="1">DATEDIF('DATA PENDUDUK'!$G1110,TODAY(),"Y")&amp; " TAHUN"</f>
        <v>33 TAHUN</v>
      </c>
      <c r="L1110" s="24" t="s">
        <v>2594</v>
      </c>
    </row>
    <row r="1111" spans="1:12" ht="20.100000000000001" customHeight="1" x14ac:dyDescent="0.25">
      <c r="A1111" s="8">
        <f t="shared" si="17"/>
        <v>1108</v>
      </c>
      <c r="B1111" s="21" t="s">
        <v>2698</v>
      </c>
      <c r="C1111" s="21" t="s">
        <v>2702</v>
      </c>
      <c r="D1111" s="22" t="s">
        <v>2703</v>
      </c>
      <c r="E1111" s="22" t="s">
        <v>16</v>
      </c>
      <c r="F1111" s="22" t="s">
        <v>2630</v>
      </c>
      <c r="G1111" s="23">
        <v>41011</v>
      </c>
      <c r="H1111" s="22" t="s">
        <v>438</v>
      </c>
      <c r="I1111" s="22" t="s">
        <v>40</v>
      </c>
      <c r="J1111" s="22" t="s">
        <v>32</v>
      </c>
      <c r="K1111" s="10" t="str">
        <f ca="1">DATEDIF('DATA PENDUDUK'!$G1111,TODAY(),"Y")&amp; " TAHUN"</f>
        <v>13 TAHUN</v>
      </c>
      <c r="L1111" s="24" t="s">
        <v>2594</v>
      </c>
    </row>
    <row r="1112" spans="1:12" ht="20.100000000000001" customHeight="1" x14ac:dyDescent="0.25">
      <c r="A1112" s="8">
        <f t="shared" si="17"/>
        <v>1109</v>
      </c>
      <c r="B1112" s="21" t="s">
        <v>2698</v>
      </c>
      <c r="C1112" s="21" t="s">
        <v>2704</v>
      </c>
      <c r="D1112" s="22" t="s">
        <v>2636</v>
      </c>
      <c r="E1112" s="22" t="s">
        <v>24</v>
      </c>
      <c r="F1112" s="22" t="s">
        <v>2630</v>
      </c>
      <c r="G1112" s="23">
        <v>41633</v>
      </c>
      <c r="H1112" s="22" t="s">
        <v>438</v>
      </c>
      <c r="I1112" s="22" t="s">
        <v>40</v>
      </c>
      <c r="J1112" s="22" t="s">
        <v>32</v>
      </c>
      <c r="K1112" s="10" t="str">
        <f ca="1">DATEDIF('DATA PENDUDUK'!$G1112,TODAY(),"Y")&amp; " TAHUN"</f>
        <v>11 TAHUN</v>
      </c>
      <c r="L1112" s="24" t="s">
        <v>2594</v>
      </c>
    </row>
    <row r="1113" spans="1:12" ht="20.100000000000001" customHeight="1" x14ac:dyDescent="0.25">
      <c r="A1113" s="8">
        <f t="shared" si="17"/>
        <v>1110</v>
      </c>
      <c r="B1113" s="21" t="s">
        <v>2705</v>
      </c>
      <c r="C1113" s="21" t="s">
        <v>2706</v>
      </c>
      <c r="D1113" s="22" t="s">
        <v>2707</v>
      </c>
      <c r="E1113" s="22" t="s">
        <v>24</v>
      </c>
      <c r="F1113" s="22" t="s">
        <v>869</v>
      </c>
      <c r="G1113" s="23">
        <v>31642</v>
      </c>
      <c r="H1113" s="22" t="s">
        <v>438</v>
      </c>
      <c r="I1113" s="22" t="s">
        <v>2593</v>
      </c>
      <c r="J1113" s="22" t="s">
        <v>20</v>
      </c>
      <c r="K1113" s="10" t="str">
        <f ca="1">DATEDIF('DATA PENDUDUK'!$G1113,TODAY(),"Y")&amp; " TAHUN"</f>
        <v>38 TAHUN</v>
      </c>
      <c r="L1113" s="24" t="s">
        <v>2594</v>
      </c>
    </row>
    <row r="1114" spans="1:12" ht="20.100000000000001" customHeight="1" x14ac:dyDescent="0.25">
      <c r="A1114" s="8">
        <f t="shared" si="17"/>
        <v>1111</v>
      </c>
      <c r="B1114" s="21" t="s">
        <v>2705</v>
      </c>
      <c r="C1114" s="21" t="s">
        <v>2708</v>
      </c>
      <c r="D1114" s="22" t="s">
        <v>2709</v>
      </c>
      <c r="E1114" s="22" t="s">
        <v>24</v>
      </c>
      <c r="F1114" s="22" t="s">
        <v>2710</v>
      </c>
      <c r="G1114" s="23">
        <v>39866</v>
      </c>
      <c r="H1114" s="22" t="s">
        <v>438</v>
      </c>
      <c r="I1114" s="22" t="s">
        <v>31</v>
      </c>
      <c r="J1114" s="22" t="s">
        <v>32</v>
      </c>
      <c r="K1114" s="10" t="str">
        <f ca="1">DATEDIF('DATA PENDUDUK'!$G1114,TODAY(),"Y")&amp; " TAHUN"</f>
        <v>16 TAHUN</v>
      </c>
      <c r="L1114" s="24" t="s">
        <v>2594</v>
      </c>
    </row>
    <row r="1115" spans="1:12" ht="20.100000000000001" customHeight="1" x14ac:dyDescent="0.25">
      <c r="A1115" s="8">
        <f t="shared" si="17"/>
        <v>1112</v>
      </c>
      <c r="B1115" s="21" t="s">
        <v>2705</v>
      </c>
      <c r="C1115" s="21" t="s">
        <v>2711</v>
      </c>
      <c r="D1115" s="22" t="s">
        <v>2712</v>
      </c>
      <c r="E1115" s="22" t="s">
        <v>24</v>
      </c>
      <c r="F1115" s="22" t="s">
        <v>2710</v>
      </c>
      <c r="G1115" s="23">
        <v>39866</v>
      </c>
      <c r="H1115" s="22" t="s">
        <v>438</v>
      </c>
      <c r="I1115" s="22" t="s">
        <v>31</v>
      </c>
      <c r="J1115" s="22" t="s">
        <v>32</v>
      </c>
      <c r="K1115" s="10" t="str">
        <f ca="1">DATEDIF('DATA PENDUDUK'!$G1115,TODAY(),"Y")&amp; " TAHUN"</f>
        <v>16 TAHUN</v>
      </c>
      <c r="L1115" s="24" t="s">
        <v>2594</v>
      </c>
    </row>
    <row r="1116" spans="1:12" ht="20.100000000000001" customHeight="1" x14ac:dyDescent="0.25">
      <c r="A1116" s="8">
        <f t="shared" si="17"/>
        <v>1113</v>
      </c>
      <c r="B1116" s="21" t="s">
        <v>2713</v>
      </c>
      <c r="C1116" s="21" t="s">
        <v>2714</v>
      </c>
      <c r="D1116" s="22" t="s">
        <v>2715</v>
      </c>
      <c r="E1116" s="22" t="s">
        <v>16</v>
      </c>
      <c r="F1116" s="22" t="s">
        <v>2716</v>
      </c>
      <c r="G1116" s="23">
        <v>34674</v>
      </c>
      <c r="H1116" s="22" t="s">
        <v>438</v>
      </c>
      <c r="I1116" s="22" t="s">
        <v>2593</v>
      </c>
      <c r="J1116" s="22" t="s">
        <v>20</v>
      </c>
      <c r="K1116" s="10" t="str">
        <f ca="1">DATEDIF('DATA PENDUDUK'!$G1116,TODAY(),"Y")&amp; " TAHUN"</f>
        <v>30 TAHUN</v>
      </c>
      <c r="L1116" s="24" t="s">
        <v>2594</v>
      </c>
    </row>
    <row r="1117" spans="1:12" ht="20.100000000000001" customHeight="1" x14ac:dyDescent="0.25">
      <c r="A1117" s="8">
        <f t="shared" si="17"/>
        <v>1114</v>
      </c>
      <c r="B1117" s="21" t="s">
        <v>2713</v>
      </c>
      <c r="C1117" s="21" t="s">
        <v>2717</v>
      </c>
      <c r="D1117" s="22" t="s">
        <v>2718</v>
      </c>
      <c r="E1117" s="22" t="s">
        <v>16</v>
      </c>
      <c r="F1117" s="22" t="s">
        <v>2719</v>
      </c>
      <c r="G1117" s="23">
        <v>43222</v>
      </c>
      <c r="H1117" s="22" t="s">
        <v>438</v>
      </c>
      <c r="I1117" s="22" t="s">
        <v>40</v>
      </c>
      <c r="J1117" s="22" t="s">
        <v>32</v>
      </c>
      <c r="K1117" s="10" t="str">
        <f ca="1">DATEDIF('DATA PENDUDUK'!$G1117,TODAY(),"Y")&amp; " TAHUN"</f>
        <v>7 TAHUN</v>
      </c>
      <c r="L1117" s="24" t="s">
        <v>2594</v>
      </c>
    </row>
    <row r="1118" spans="1:12" ht="20.100000000000001" customHeight="1" x14ac:dyDescent="0.25">
      <c r="A1118" s="8">
        <f t="shared" si="17"/>
        <v>1115</v>
      </c>
      <c r="B1118" s="21" t="s">
        <v>2713</v>
      </c>
      <c r="C1118" s="21" t="s">
        <v>2720</v>
      </c>
      <c r="D1118" s="22" t="s">
        <v>2721</v>
      </c>
      <c r="E1118" s="22" t="s">
        <v>24</v>
      </c>
      <c r="F1118" s="22" t="s">
        <v>30</v>
      </c>
      <c r="G1118" s="23">
        <v>44015</v>
      </c>
      <c r="H1118" s="22" t="s">
        <v>438</v>
      </c>
      <c r="I1118" s="22" t="s">
        <v>40</v>
      </c>
      <c r="J1118" s="22" t="s">
        <v>32</v>
      </c>
      <c r="K1118" s="10" t="str">
        <f ca="1">DATEDIF('DATA PENDUDUK'!$G1118,TODAY(),"Y")&amp; " TAHUN"</f>
        <v>5 TAHUN</v>
      </c>
      <c r="L1118" s="24" t="s">
        <v>2594</v>
      </c>
    </row>
    <row r="1119" spans="1:12" ht="20.100000000000001" customHeight="1" x14ac:dyDescent="0.25">
      <c r="A1119" s="8">
        <f t="shared" si="17"/>
        <v>1116</v>
      </c>
      <c r="B1119" s="21" t="s">
        <v>2713</v>
      </c>
      <c r="C1119" s="21" t="s">
        <v>2722</v>
      </c>
      <c r="D1119" s="22" t="s">
        <v>2723</v>
      </c>
      <c r="E1119" s="22" t="s">
        <v>24</v>
      </c>
      <c r="F1119" s="22" t="s">
        <v>30</v>
      </c>
      <c r="G1119" s="23">
        <v>45085</v>
      </c>
      <c r="H1119" s="22" t="s">
        <v>438</v>
      </c>
      <c r="I1119" s="22" t="s">
        <v>40</v>
      </c>
      <c r="J1119" s="22" t="s">
        <v>32</v>
      </c>
      <c r="K1119" s="10" t="str">
        <f ca="1">DATEDIF('DATA PENDUDUK'!$G1119,TODAY(),"Y")&amp; " TAHUN"</f>
        <v>2 TAHUN</v>
      </c>
      <c r="L1119" s="24" t="s">
        <v>2594</v>
      </c>
    </row>
    <row r="1120" spans="1:12" ht="20.100000000000001" customHeight="1" x14ac:dyDescent="0.25">
      <c r="A1120" s="8">
        <f t="shared" si="17"/>
        <v>1117</v>
      </c>
      <c r="B1120" s="21" t="s">
        <v>2713</v>
      </c>
      <c r="C1120" s="21" t="s">
        <v>2724</v>
      </c>
      <c r="D1120" s="22" t="s">
        <v>2725</v>
      </c>
      <c r="E1120" s="22" t="s">
        <v>24</v>
      </c>
      <c r="F1120" s="22" t="s">
        <v>2726</v>
      </c>
      <c r="G1120" s="23">
        <v>36377</v>
      </c>
      <c r="H1120" s="22" t="s">
        <v>438</v>
      </c>
      <c r="I1120" s="22" t="s">
        <v>40</v>
      </c>
      <c r="J1120" s="22" t="s">
        <v>37</v>
      </c>
      <c r="K1120" s="10" t="str">
        <f ca="1">DATEDIF('DATA PENDUDUK'!$G1120,TODAY(),"Y")&amp; " TAHUN"</f>
        <v>25 TAHUN</v>
      </c>
      <c r="L1120" s="24" t="s">
        <v>2594</v>
      </c>
    </row>
    <row r="1121" spans="1:12" ht="20.100000000000001" customHeight="1" x14ac:dyDescent="0.25">
      <c r="A1121" s="8">
        <f t="shared" si="17"/>
        <v>1118</v>
      </c>
      <c r="B1121" s="21" t="s">
        <v>2727</v>
      </c>
      <c r="C1121" s="21" t="s">
        <v>2643</v>
      </c>
      <c r="D1121" s="22" t="s">
        <v>2644</v>
      </c>
      <c r="E1121" s="22" t="s">
        <v>16</v>
      </c>
      <c r="F1121" s="22" t="s">
        <v>2645</v>
      </c>
      <c r="G1121" s="23">
        <v>34825</v>
      </c>
      <c r="H1121" s="22" t="s">
        <v>438</v>
      </c>
      <c r="I1121" s="22" t="s">
        <v>2728</v>
      </c>
      <c r="J1121" s="22" t="s">
        <v>20</v>
      </c>
      <c r="K1121" s="10" t="str">
        <f ca="1">DATEDIF('DATA PENDUDUK'!$G1121,TODAY(),"Y")&amp; " TAHUN"</f>
        <v>30 TAHUN</v>
      </c>
      <c r="L1121" s="24" t="s">
        <v>2594</v>
      </c>
    </row>
    <row r="1122" spans="1:12" ht="20.100000000000001" customHeight="1" x14ac:dyDescent="0.25">
      <c r="A1122" s="8">
        <f t="shared" si="17"/>
        <v>1119</v>
      </c>
      <c r="B1122" s="21" t="s">
        <v>2727</v>
      </c>
      <c r="C1122" s="21" t="s">
        <v>2729</v>
      </c>
      <c r="D1122" s="22" t="s">
        <v>2730</v>
      </c>
      <c r="E1122" s="22" t="s">
        <v>24</v>
      </c>
      <c r="F1122" s="22" t="s">
        <v>2601</v>
      </c>
      <c r="G1122" s="23">
        <v>32955</v>
      </c>
      <c r="H1122" s="22" t="s">
        <v>438</v>
      </c>
      <c r="I1122" s="22" t="s">
        <v>31</v>
      </c>
      <c r="J1122" s="22" t="s">
        <v>27</v>
      </c>
      <c r="K1122" s="10" t="str">
        <f ca="1">DATEDIF('DATA PENDUDUK'!$G1122,TODAY(),"Y")&amp; " TAHUN"</f>
        <v>35 TAHUN</v>
      </c>
      <c r="L1122" s="24" t="s">
        <v>2594</v>
      </c>
    </row>
    <row r="1123" spans="1:12" ht="20.100000000000001" customHeight="1" x14ac:dyDescent="0.25">
      <c r="A1123" s="8">
        <f t="shared" si="17"/>
        <v>1120</v>
      </c>
      <c r="B1123" s="21" t="s">
        <v>2727</v>
      </c>
      <c r="C1123" s="21" t="s">
        <v>2731</v>
      </c>
      <c r="D1123" s="22" t="s">
        <v>2732</v>
      </c>
      <c r="E1123" s="22" t="s">
        <v>24</v>
      </c>
      <c r="F1123" s="22" t="s">
        <v>174</v>
      </c>
      <c r="G1123" s="23">
        <v>42966</v>
      </c>
      <c r="H1123" s="22" t="s">
        <v>438</v>
      </c>
      <c r="I1123" s="22" t="s">
        <v>40</v>
      </c>
      <c r="J1123" s="22" t="s">
        <v>32</v>
      </c>
      <c r="K1123" s="10" t="str">
        <f ca="1">DATEDIF('DATA PENDUDUK'!$G1123,TODAY(),"Y")&amp; " TAHUN"</f>
        <v>7 TAHUN</v>
      </c>
      <c r="L1123" s="24" t="s">
        <v>2594</v>
      </c>
    </row>
    <row r="1124" spans="1:12" ht="20.100000000000001" customHeight="1" x14ac:dyDescent="0.25">
      <c r="A1124" s="8">
        <f t="shared" si="17"/>
        <v>1121</v>
      </c>
      <c r="B1124" s="21" t="s">
        <v>2727</v>
      </c>
      <c r="C1124" s="21" t="s">
        <v>2733</v>
      </c>
      <c r="D1124" s="22" t="s">
        <v>2734</v>
      </c>
      <c r="E1124" s="22" t="s">
        <v>2735</v>
      </c>
      <c r="F1124" s="22" t="s">
        <v>30</v>
      </c>
      <c r="G1124" s="23">
        <v>43972</v>
      </c>
      <c r="H1124" s="22" t="s">
        <v>438</v>
      </c>
      <c r="I1124" s="22" t="s">
        <v>40</v>
      </c>
      <c r="J1124" s="22" t="s">
        <v>32</v>
      </c>
      <c r="K1124" s="10" t="str">
        <f ca="1">DATEDIF('DATA PENDUDUK'!$G1124,TODAY(),"Y")&amp; " TAHUN"</f>
        <v>5 TAHUN</v>
      </c>
      <c r="L1124" s="24" t="s">
        <v>2594</v>
      </c>
    </row>
    <row r="1125" spans="1:12" ht="20.100000000000001" customHeight="1" x14ac:dyDescent="0.25">
      <c r="A1125" s="8">
        <f t="shared" si="17"/>
        <v>1122</v>
      </c>
      <c r="B1125" s="21" t="s">
        <v>2727</v>
      </c>
      <c r="C1125" s="21" t="s">
        <v>2736</v>
      </c>
      <c r="D1125" s="22" t="s">
        <v>2737</v>
      </c>
      <c r="E1125" s="22" t="s">
        <v>2735</v>
      </c>
      <c r="F1125" s="22" t="s">
        <v>30</v>
      </c>
      <c r="G1125" s="23">
        <v>44641</v>
      </c>
      <c r="H1125" s="22" t="s">
        <v>438</v>
      </c>
      <c r="I1125" s="22" t="s">
        <v>40</v>
      </c>
      <c r="J1125" s="22" t="s">
        <v>32</v>
      </c>
      <c r="K1125" s="10" t="str">
        <f ca="1">DATEDIF('DATA PENDUDUK'!$G1125,TODAY(),"Y")&amp; " TAHUN"</f>
        <v>3 TAHUN</v>
      </c>
      <c r="L1125" s="24" t="s">
        <v>2594</v>
      </c>
    </row>
    <row r="1126" spans="1:12" ht="20.100000000000001" customHeight="1" x14ac:dyDescent="0.25">
      <c r="A1126" s="8">
        <f t="shared" si="17"/>
        <v>1123</v>
      </c>
      <c r="B1126" s="21" t="s">
        <v>2738</v>
      </c>
      <c r="C1126" s="21" t="s">
        <v>2739</v>
      </c>
      <c r="D1126" s="22" t="s">
        <v>2740</v>
      </c>
      <c r="E1126" s="22" t="s">
        <v>16</v>
      </c>
      <c r="F1126" s="22" t="s">
        <v>1591</v>
      </c>
      <c r="G1126" s="23">
        <v>23872</v>
      </c>
      <c r="H1126" s="22" t="s">
        <v>35</v>
      </c>
      <c r="I1126" s="22" t="s">
        <v>2593</v>
      </c>
      <c r="J1126" s="22" t="s">
        <v>20</v>
      </c>
      <c r="K1126" s="10" t="str">
        <f ca="1">DATEDIF('DATA PENDUDUK'!$G1126,TODAY(),"Y")&amp; " TAHUN"</f>
        <v>60 TAHUN</v>
      </c>
      <c r="L1126" s="24" t="s">
        <v>2594</v>
      </c>
    </row>
    <row r="1127" spans="1:12" ht="20.100000000000001" customHeight="1" x14ac:dyDescent="0.25">
      <c r="A1127" s="8">
        <f t="shared" si="17"/>
        <v>1124</v>
      </c>
      <c r="B1127" s="21" t="s">
        <v>2738</v>
      </c>
      <c r="C1127" s="21" t="s">
        <v>2741</v>
      </c>
      <c r="D1127" s="22" t="s">
        <v>2742</v>
      </c>
      <c r="E1127" s="22" t="s">
        <v>24</v>
      </c>
      <c r="F1127" s="22" t="s">
        <v>1591</v>
      </c>
      <c r="G1127" s="23">
        <v>26577</v>
      </c>
      <c r="H1127" s="22" t="s">
        <v>35</v>
      </c>
      <c r="I1127" s="22" t="s">
        <v>2593</v>
      </c>
      <c r="J1127" s="22" t="s">
        <v>27</v>
      </c>
      <c r="K1127" s="10" t="str">
        <f ca="1">DATEDIF('DATA PENDUDUK'!$G1127,TODAY(),"Y")&amp; " TAHUN"</f>
        <v>52 TAHUN</v>
      </c>
      <c r="L1127" s="24" t="s">
        <v>2594</v>
      </c>
    </row>
    <row r="1128" spans="1:12" ht="20.100000000000001" customHeight="1" x14ac:dyDescent="0.25">
      <c r="A1128" s="8">
        <f t="shared" si="17"/>
        <v>1125</v>
      </c>
      <c r="B1128" s="21" t="s">
        <v>2738</v>
      </c>
      <c r="C1128" s="21" t="s">
        <v>2743</v>
      </c>
      <c r="D1128" s="22" t="s">
        <v>302</v>
      </c>
      <c r="E1128" s="22" t="s">
        <v>16</v>
      </c>
      <c r="F1128" s="22" t="s">
        <v>1591</v>
      </c>
      <c r="G1128" s="23">
        <v>37346</v>
      </c>
      <c r="H1128" s="22" t="s">
        <v>35</v>
      </c>
      <c r="I1128" s="22" t="s">
        <v>31</v>
      </c>
      <c r="J1128" s="22" t="s">
        <v>32</v>
      </c>
      <c r="K1128" s="10" t="str">
        <f ca="1">DATEDIF('DATA PENDUDUK'!$G1128,TODAY(),"Y")&amp; " TAHUN"</f>
        <v>23 TAHUN</v>
      </c>
      <c r="L1128" s="24" t="s">
        <v>2594</v>
      </c>
    </row>
    <row r="1129" spans="1:12" ht="20.100000000000001" customHeight="1" x14ac:dyDescent="0.25">
      <c r="A1129" s="8">
        <f t="shared" si="17"/>
        <v>1126</v>
      </c>
      <c r="B1129" s="21" t="s">
        <v>2738</v>
      </c>
      <c r="C1129" s="21" t="s">
        <v>2744</v>
      </c>
      <c r="D1129" s="22" t="s">
        <v>2745</v>
      </c>
      <c r="E1129" s="22" t="s">
        <v>24</v>
      </c>
      <c r="F1129" s="22" t="s">
        <v>30</v>
      </c>
      <c r="G1129" s="23">
        <v>39609</v>
      </c>
      <c r="H1129" s="22" t="s">
        <v>35</v>
      </c>
      <c r="I1129" s="22" t="s">
        <v>40</v>
      </c>
      <c r="J1129" s="22" t="s">
        <v>32</v>
      </c>
      <c r="K1129" s="10" t="str">
        <f ca="1">DATEDIF('DATA PENDUDUK'!$G1129,TODAY(),"Y")&amp; " TAHUN"</f>
        <v>17 TAHUN</v>
      </c>
      <c r="L1129" s="24" t="s">
        <v>2594</v>
      </c>
    </row>
    <row r="1130" spans="1:12" ht="20.100000000000001" customHeight="1" x14ac:dyDescent="0.25">
      <c r="A1130" s="8">
        <f t="shared" si="17"/>
        <v>1127</v>
      </c>
      <c r="B1130" s="21" t="s">
        <v>2738</v>
      </c>
      <c r="C1130" s="21" t="s">
        <v>2746</v>
      </c>
      <c r="D1130" s="22" t="s">
        <v>2747</v>
      </c>
      <c r="E1130" s="22" t="s">
        <v>24</v>
      </c>
      <c r="F1130" s="22" t="s">
        <v>30</v>
      </c>
      <c r="G1130" s="23">
        <v>41620</v>
      </c>
      <c r="H1130" s="22" t="s">
        <v>35</v>
      </c>
      <c r="I1130" s="22" t="s">
        <v>40</v>
      </c>
      <c r="J1130" s="22" t="s">
        <v>32</v>
      </c>
      <c r="K1130" s="10" t="str">
        <f ca="1">DATEDIF('DATA PENDUDUK'!$G1130,TODAY(),"Y")&amp; " TAHUN"</f>
        <v>11 TAHUN</v>
      </c>
      <c r="L1130" s="24" t="s">
        <v>2594</v>
      </c>
    </row>
    <row r="1131" spans="1:12" ht="20.100000000000001" customHeight="1" x14ac:dyDescent="0.25">
      <c r="A1131" s="8">
        <f t="shared" si="17"/>
        <v>1128</v>
      </c>
      <c r="B1131" s="21" t="s">
        <v>2748</v>
      </c>
      <c r="C1131" s="21" t="s">
        <v>2749</v>
      </c>
      <c r="D1131" s="22" t="s">
        <v>2750</v>
      </c>
      <c r="E1131" s="22" t="s">
        <v>24</v>
      </c>
      <c r="F1131" s="22" t="s">
        <v>2751</v>
      </c>
      <c r="G1131" s="23">
        <v>33000</v>
      </c>
      <c r="H1131" s="22" t="s">
        <v>18</v>
      </c>
      <c r="I1131" s="22" t="s">
        <v>2598</v>
      </c>
      <c r="J1131" s="22" t="s">
        <v>20</v>
      </c>
      <c r="K1131" s="10" t="str">
        <f ca="1">DATEDIF('DATA PENDUDUK'!$G1131,TODAY(),"Y")&amp; " TAHUN"</f>
        <v>35 TAHUN</v>
      </c>
      <c r="L1131" s="24" t="s">
        <v>2594</v>
      </c>
    </row>
    <row r="1132" spans="1:12" ht="20.100000000000001" customHeight="1" x14ac:dyDescent="0.25">
      <c r="A1132" s="8">
        <f t="shared" si="17"/>
        <v>1129</v>
      </c>
      <c r="B1132" s="21" t="s">
        <v>2748</v>
      </c>
      <c r="C1132" s="21" t="s">
        <v>2752</v>
      </c>
      <c r="D1132" s="22" t="s">
        <v>2753</v>
      </c>
      <c r="E1132" s="22" t="s">
        <v>24</v>
      </c>
      <c r="F1132" s="22" t="s">
        <v>30</v>
      </c>
      <c r="G1132" s="23">
        <v>41228</v>
      </c>
      <c r="H1132" s="22" t="s">
        <v>18</v>
      </c>
      <c r="I1132" s="22" t="s">
        <v>40</v>
      </c>
      <c r="J1132" s="22" t="s">
        <v>32</v>
      </c>
      <c r="K1132" s="10" t="str">
        <f ca="1">DATEDIF('DATA PENDUDUK'!$G1132,TODAY(),"Y")&amp; " TAHUN"</f>
        <v>12 TAHUN</v>
      </c>
      <c r="L1132" s="24" t="s">
        <v>2594</v>
      </c>
    </row>
    <row r="1133" spans="1:12" ht="20.100000000000001" customHeight="1" x14ac:dyDescent="0.25">
      <c r="A1133" s="8">
        <f t="shared" si="17"/>
        <v>1130</v>
      </c>
      <c r="B1133" s="21" t="s">
        <v>2748</v>
      </c>
      <c r="C1133" s="21" t="s">
        <v>2754</v>
      </c>
      <c r="D1133" s="22" t="s">
        <v>2755</v>
      </c>
      <c r="E1133" s="22" t="s">
        <v>16</v>
      </c>
      <c r="F1133" s="22" t="s">
        <v>30</v>
      </c>
      <c r="G1133" s="23">
        <v>41642</v>
      </c>
      <c r="H1133" s="22" t="s">
        <v>18</v>
      </c>
      <c r="I1133" s="22" t="s">
        <v>2728</v>
      </c>
      <c r="J1133" s="22" t="s">
        <v>32</v>
      </c>
      <c r="K1133" s="10" t="str">
        <f ca="1">DATEDIF('DATA PENDUDUK'!$G1133,TODAY(),"Y")&amp; " TAHUN"</f>
        <v>11 TAHUN</v>
      </c>
      <c r="L1133" s="24" t="s">
        <v>2594</v>
      </c>
    </row>
    <row r="1134" spans="1:12" ht="20.100000000000001" customHeight="1" x14ac:dyDescent="0.25">
      <c r="A1134" s="8">
        <f t="shared" si="17"/>
        <v>1131</v>
      </c>
      <c r="B1134" s="21" t="s">
        <v>2748</v>
      </c>
      <c r="C1134" s="21" t="s">
        <v>2756</v>
      </c>
      <c r="D1134" s="22" t="s">
        <v>2757</v>
      </c>
      <c r="E1134" s="22" t="s">
        <v>16</v>
      </c>
      <c r="F1134" s="22" t="s">
        <v>30</v>
      </c>
      <c r="G1134" s="23">
        <v>42363</v>
      </c>
      <c r="H1134" s="22" t="s">
        <v>18</v>
      </c>
      <c r="I1134" s="22" t="s">
        <v>2758</v>
      </c>
      <c r="J1134" s="22" t="s">
        <v>32</v>
      </c>
      <c r="K1134" s="10" t="str">
        <f ca="1">DATEDIF('DATA PENDUDUK'!$G1134,TODAY(),"Y")&amp; " TAHUN"</f>
        <v>9 TAHUN</v>
      </c>
      <c r="L1134" s="24" t="s">
        <v>2594</v>
      </c>
    </row>
    <row r="1135" spans="1:12" ht="20.100000000000001" customHeight="1" x14ac:dyDescent="0.25">
      <c r="A1135" s="8">
        <f t="shared" si="17"/>
        <v>1132</v>
      </c>
      <c r="B1135" s="21" t="s">
        <v>2759</v>
      </c>
      <c r="C1135" s="21" t="s">
        <v>2760</v>
      </c>
      <c r="D1135" s="22" t="s">
        <v>2761</v>
      </c>
      <c r="E1135" s="22" t="s">
        <v>16</v>
      </c>
      <c r="F1135" s="22" t="s">
        <v>25</v>
      </c>
      <c r="G1135" s="23">
        <v>12063</v>
      </c>
      <c r="H1135" s="22" t="s">
        <v>35</v>
      </c>
      <c r="I1135" s="22" t="s">
        <v>2762</v>
      </c>
      <c r="J1135" s="22" t="s">
        <v>20</v>
      </c>
      <c r="K1135" s="10" t="str">
        <f ca="1">DATEDIF('DATA PENDUDUK'!$G1135,TODAY(),"Y")&amp; " TAHUN"</f>
        <v>92 TAHUN</v>
      </c>
      <c r="L1135" s="24" t="s">
        <v>2594</v>
      </c>
    </row>
    <row r="1136" spans="1:12" ht="20.100000000000001" customHeight="1" x14ac:dyDescent="0.25">
      <c r="A1136" s="8">
        <f t="shared" si="17"/>
        <v>1133</v>
      </c>
      <c r="B1136" s="21" t="s">
        <v>2759</v>
      </c>
      <c r="C1136" s="21" t="s">
        <v>2763</v>
      </c>
      <c r="D1136" s="22" t="s">
        <v>2396</v>
      </c>
      <c r="E1136" s="22" t="s">
        <v>24</v>
      </c>
      <c r="F1136" s="22" t="s">
        <v>25</v>
      </c>
      <c r="G1136" s="23">
        <v>19963</v>
      </c>
      <c r="H1136" s="22" t="s">
        <v>35</v>
      </c>
      <c r="I1136" s="22" t="s">
        <v>2598</v>
      </c>
      <c r="J1136" s="22" t="s">
        <v>27</v>
      </c>
      <c r="K1136" s="10" t="str">
        <f ca="1">DATEDIF('DATA PENDUDUK'!$G1136,TODAY(),"Y")&amp; " TAHUN"</f>
        <v>70 TAHUN</v>
      </c>
      <c r="L1136" s="24" t="s">
        <v>2594</v>
      </c>
    </row>
    <row r="1137" spans="1:12" ht="20.100000000000001" customHeight="1" x14ac:dyDescent="0.25">
      <c r="A1137" s="8">
        <f t="shared" si="17"/>
        <v>1134</v>
      </c>
      <c r="B1137" s="21" t="s">
        <v>2764</v>
      </c>
      <c r="C1137" s="21" t="s">
        <v>2765</v>
      </c>
      <c r="D1137" s="22" t="s">
        <v>2766</v>
      </c>
      <c r="E1137" s="22" t="s">
        <v>16</v>
      </c>
      <c r="F1137" s="22" t="s">
        <v>955</v>
      </c>
      <c r="G1137" s="23">
        <v>34066</v>
      </c>
      <c r="H1137" s="22" t="s">
        <v>438</v>
      </c>
      <c r="I1137" s="22" t="s">
        <v>40</v>
      </c>
      <c r="J1137" s="22" t="s">
        <v>20</v>
      </c>
      <c r="K1137" s="10" t="str">
        <f ca="1">DATEDIF('DATA PENDUDUK'!$G1137,TODAY(),"Y")&amp; " TAHUN"</f>
        <v>32 TAHUN</v>
      </c>
      <c r="L1137" s="24" t="s">
        <v>2594</v>
      </c>
    </row>
    <row r="1138" spans="1:12" ht="20.100000000000001" customHeight="1" x14ac:dyDescent="0.25">
      <c r="A1138" s="8">
        <f t="shared" si="17"/>
        <v>1135</v>
      </c>
      <c r="B1138" s="21" t="s">
        <v>2764</v>
      </c>
      <c r="C1138" s="21" t="s">
        <v>2767</v>
      </c>
      <c r="D1138" s="22" t="s">
        <v>2768</v>
      </c>
      <c r="E1138" s="22" t="s">
        <v>24</v>
      </c>
      <c r="F1138" s="22" t="s">
        <v>2769</v>
      </c>
      <c r="G1138" s="23">
        <v>36137</v>
      </c>
      <c r="H1138" s="22" t="s">
        <v>438</v>
      </c>
      <c r="I1138" s="22" t="s">
        <v>2598</v>
      </c>
      <c r="J1138" s="22" t="s">
        <v>27</v>
      </c>
      <c r="K1138" s="10" t="str">
        <f ca="1">DATEDIF('DATA PENDUDUK'!$G1138,TODAY(),"Y")&amp; " TAHUN"</f>
        <v>26 TAHUN</v>
      </c>
      <c r="L1138" s="24" t="s">
        <v>2594</v>
      </c>
    </row>
    <row r="1139" spans="1:12" ht="20.100000000000001" customHeight="1" x14ac:dyDescent="0.25">
      <c r="A1139" s="8">
        <f t="shared" si="17"/>
        <v>1136</v>
      </c>
      <c r="B1139" s="21" t="s">
        <v>2764</v>
      </c>
      <c r="C1139" s="21" t="s">
        <v>2770</v>
      </c>
      <c r="D1139" s="22" t="s">
        <v>2771</v>
      </c>
      <c r="E1139" s="22" t="s">
        <v>24</v>
      </c>
      <c r="F1139" s="22" t="s">
        <v>30</v>
      </c>
      <c r="G1139" s="23">
        <v>43132</v>
      </c>
      <c r="H1139" s="22" t="s">
        <v>438</v>
      </c>
      <c r="I1139" s="22" t="s">
        <v>40</v>
      </c>
      <c r="J1139" s="22" t="s">
        <v>32</v>
      </c>
      <c r="K1139" s="10" t="str">
        <f ca="1">DATEDIF('DATA PENDUDUK'!$G1139,TODAY(),"Y")&amp; " TAHUN"</f>
        <v>7 TAHUN</v>
      </c>
      <c r="L1139" s="24" t="s">
        <v>2594</v>
      </c>
    </row>
    <row r="1140" spans="1:12" ht="20.100000000000001" customHeight="1" x14ac:dyDescent="0.25">
      <c r="A1140" s="8">
        <f t="shared" si="17"/>
        <v>1137</v>
      </c>
      <c r="B1140" s="21" t="s">
        <v>2772</v>
      </c>
      <c r="C1140" s="21" t="s">
        <v>2773</v>
      </c>
      <c r="D1140" s="22" t="s">
        <v>2774</v>
      </c>
      <c r="E1140" s="22" t="s">
        <v>16</v>
      </c>
      <c r="F1140" s="22" t="s">
        <v>87</v>
      </c>
      <c r="G1140" s="23">
        <v>27929</v>
      </c>
      <c r="H1140" s="22" t="s">
        <v>35</v>
      </c>
      <c r="I1140" s="22" t="s">
        <v>19</v>
      </c>
      <c r="J1140" s="22" t="s">
        <v>20</v>
      </c>
      <c r="K1140" s="10" t="str">
        <f ca="1">DATEDIF('DATA PENDUDUK'!$G1140,TODAY(),"Y")&amp; " TAHUN"</f>
        <v>49 TAHUN</v>
      </c>
      <c r="L1140" s="24" t="s">
        <v>2594</v>
      </c>
    </row>
    <row r="1141" spans="1:12" ht="20.100000000000001" customHeight="1" x14ac:dyDescent="0.25">
      <c r="A1141" s="8">
        <f t="shared" si="17"/>
        <v>1138</v>
      </c>
      <c r="B1141" s="21" t="s">
        <v>2772</v>
      </c>
      <c r="C1141" s="21" t="s">
        <v>2775</v>
      </c>
      <c r="D1141" s="22" t="s">
        <v>2776</v>
      </c>
      <c r="E1141" s="22" t="s">
        <v>24</v>
      </c>
      <c r="F1141" s="22" t="s">
        <v>618</v>
      </c>
      <c r="G1141" s="23">
        <v>28364</v>
      </c>
      <c r="H1141" s="22" t="s">
        <v>35</v>
      </c>
      <c r="I1141" s="22" t="s">
        <v>2598</v>
      </c>
      <c r="J1141" s="22" t="s">
        <v>27</v>
      </c>
      <c r="K1141" s="10" t="str">
        <f ca="1">DATEDIF('DATA PENDUDUK'!$G1141,TODAY(),"Y")&amp; " TAHUN"</f>
        <v>47 TAHUN</v>
      </c>
      <c r="L1141" s="24" t="s">
        <v>2594</v>
      </c>
    </row>
    <row r="1142" spans="1:12" ht="20.100000000000001" customHeight="1" x14ac:dyDescent="0.25">
      <c r="A1142" s="8">
        <f t="shared" si="17"/>
        <v>1139</v>
      </c>
      <c r="B1142" s="21" t="s">
        <v>2772</v>
      </c>
      <c r="C1142" s="21" t="s">
        <v>2777</v>
      </c>
      <c r="D1142" s="22" t="s">
        <v>2778</v>
      </c>
      <c r="E1142" s="22" t="s">
        <v>16</v>
      </c>
      <c r="F1142" s="22" t="s">
        <v>30</v>
      </c>
      <c r="G1142" s="23">
        <v>36433</v>
      </c>
      <c r="H1142" s="22" t="s">
        <v>35</v>
      </c>
      <c r="I1142" s="22" t="s">
        <v>40</v>
      </c>
      <c r="J1142" s="22" t="s">
        <v>32</v>
      </c>
      <c r="K1142" s="10" t="str">
        <f ca="1">DATEDIF('DATA PENDUDUK'!$G1142,TODAY(),"Y")&amp; " TAHUN"</f>
        <v>25 TAHUN</v>
      </c>
      <c r="L1142" s="24" t="s">
        <v>2594</v>
      </c>
    </row>
    <row r="1143" spans="1:12" ht="20.100000000000001" customHeight="1" x14ac:dyDescent="0.25">
      <c r="A1143" s="8">
        <f t="shared" si="17"/>
        <v>1140</v>
      </c>
      <c r="B1143" s="21" t="s">
        <v>2772</v>
      </c>
      <c r="C1143" s="21" t="s">
        <v>2779</v>
      </c>
      <c r="D1143" s="22" t="s">
        <v>2780</v>
      </c>
      <c r="E1143" s="22" t="s">
        <v>16</v>
      </c>
      <c r="F1143" s="22" t="s">
        <v>30</v>
      </c>
      <c r="G1143" s="23">
        <v>41514</v>
      </c>
      <c r="H1143" s="22" t="s">
        <v>35</v>
      </c>
      <c r="I1143" s="22" t="s">
        <v>40</v>
      </c>
      <c r="J1143" s="22" t="s">
        <v>32</v>
      </c>
      <c r="K1143" s="10" t="str">
        <f ca="1">DATEDIF('DATA PENDUDUK'!$G1143,TODAY(),"Y")&amp; " TAHUN"</f>
        <v>11 TAHUN</v>
      </c>
      <c r="L1143" s="24" t="s">
        <v>2594</v>
      </c>
    </row>
    <row r="1144" spans="1:12" ht="20.100000000000001" customHeight="1" x14ac:dyDescent="0.25">
      <c r="A1144" s="8">
        <f t="shared" si="17"/>
        <v>1141</v>
      </c>
      <c r="B1144" s="21" t="s">
        <v>2772</v>
      </c>
      <c r="C1144" s="21" t="s">
        <v>2781</v>
      </c>
      <c r="D1144" s="22" t="s">
        <v>2782</v>
      </c>
      <c r="E1144" s="22" t="s">
        <v>24</v>
      </c>
      <c r="F1144" s="22" t="s">
        <v>30</v>
      </c>
      <c r="G1144" s="23">
        <v>42486</v>
      </c>
      <c r="H1144" s="22" t="s">
        <v>35</v>
      </c>
      <c r="I1144" s="22" t="s">
        <v>40</v>
      </c>
      <c r="J1144" s="22" t="s">
        <v>32</v>
      </c>
      <c r="K1144" s="10" t="str">
        <f ca="1">DATEDIF('DATA PENDUDUK'!$G1144,TODAY(),"Y")&amp; " TAHUN"</f>
        <v>9 TAHUN</v>
      </c>
      <c r="L1144" s="24" t="s">
        <v>2594</v>
      </c>
    </row>
    <row r="1145" spans="1:12" ht="20.100000000000001" customHeight="1" x14ac:dyDescent="0.25">
      <c r="A1145" s="8">
        <f t="shared" si="17"/>
        <v>1142</v>
      </c>
      <c r="B1145" s="21" t="s">
        <v>2772</v>
      </c>
      <c r="C1145" s="21" t="s">
        <v>2783</v>
      </c>
      <c r="D1145" s="22" t="s">
        <v>2784</v>
      </c>
      <c r="E1145" s="22" t="s">
        <v>24</v>
      </c>
      <c r="F1145" s="22" t="s">
        <v>30</v>
      </c>
      <c r="G1145" s="23">
        <v>42487</v>
      </c>
      <c r="H1145" s="22" t="s">
        <v>35</v>
      </c>
      <c r="I1145" s="22" t="s">
        <v>40</v>
      </c>
      <c r="J1145" s="22" t="s">
        <v>32</v>
      </c>
      <c r="K1145" s="10" t="str">
        <f ca="1">DATEDIF('DATA PENDUDUK'!$G1145,TODAY(),"Y")&amp; " TAHUN"</f>
        <v>9 TAHUN</v>
      </c>
      <c r="L1145" s="24" t="s">
        <v>2594</v>
      </c>
    </row>
    <row r="1146" spans="1:12" ht="20.100000000000001" customHeight="1" x14ac:dyDescent="0.25">
      <c r="A1146" s="8">
        <f t="shared" si="17"/>
        <v>1143</v>
      </c>
      <c r="B1146" s="21" t="s">
        <v>2785</v>
      </c>
      <c r="C1146" s="21" t="s">
        <v>2786</v>
      </c>
      <c r="D1146" s="22" t="s">
        <v>2787</v>
      </c>
      <c r="E1146" s="22" t="s">
        <v>16</v>
      </c>
      <c r="F1146" s="22" t="s">
        <v>905</v>
      </c>
      <c r="G1146" s="23">
        <v>29637</v>
      </c>
      <c r="H1146" s="22" t="s">
        <v>438</v>
      </c>
      <c r="I1146" s="22" t="s">
        <v>2593</v>
      </c>
      <c r="J1146" s="22" t="s">
        <v>20</v>
      </c>
      <c r="K1146" s="10" t="str">
        <f ca="1">DATEDIF('DATA PENDUDUK'!$G1146,TODAY(),"Y")&amp; " TAHUN"</f>
        <v>44 TAHUN</v>
      </c>
      <c r="L1146" s="24" t="s">
        <v>2594</v>
      </c>
    </row>
    <row r="1147" spans="1:12" ht="20.100000000000001" customHeight="1" x14ac:dyDescent="0.25">
      <c r="A1147" s="8">
        <f t="shared" si="17"/>
        <v>1144</v>
      </c>
      <c r="B1147" s="21" t="s">
        <v>2785</v>
      </c>
      <c r="C1147" s="21" t="s">
        <v>2788</v>
      </c>
      <c r="D1147" s="22" t="s">
        <v>2789</v>
      </c>
      <c r="E1147" s="22" t="s">
        <v>24</v>
      </c>
      <c r="F1147" s="22" t="s">
        <v>905</v>
      </c>
      <c r="G1147" s="23">
        <v>32659</v>
      </c>
      <c r="H1147" s="22" t="s">
        <v>18</v>
      </c>
      <c r="I1147" s="22" t="s">
        <v>2598</v>
      </c>
      <c r="J1147" s="22" t="s">
        <v>27</v>
      </c>
      <c r="K1147" s="10" t="str">
        <f ca="1">DATEDIF('DATA PENDUDUK'!$G1147,TODAY(),"Y")&amp; " TAHUN"</f>
        <v>36 TAHUN</v>
      </c>
      <c r="L1147" s="24" t="s">
        <v>2594</v>
      </c>
    </row>
    <row r="1148" spans="1:12" ht="20.100000000000001" customHeight="1" x14ac:dyDescent="0.25">
      <c r="A1148" s="8">
        <f t="shared" si="17"/>
        <v>1145</v>
      </c>
      <c r="B1148" s="21" t="s">
        <v>2785</v>
      </c>
      <c r="C1148" s="21" t="s">
        <v>2790</v>
      </c>
      <c r="D1148" s="22" t="s">
        <v>2791</v>
      </c>
      <c r="E1148" s="22" t="s">
        <v>24</v>
      </c>
      <c r="F1148" s="22" t="s">
        <v>30</v>
      </c>
      <c r="G1148" s="23">
        <v>38176</v>
      </c>
      <c r="H1148" s="22" t="s">
        <v>438</v>
      </c>
      <c r="I1148" s="22" t="s">
        <v>40</v>
      </c>
      <c r="J1148" s="22" t="s">
        <v>32</v>
      </c>
      <c r="K1148" s="10" t="str">
        <f ca="1">DATEDIF('DATA PENDUDUK'!$G1148,TODAY(),"Y")&amp; " TAHUN"</f>
        <v>21 TAHUN</v>
      </c>
      <c r="L1148" s="24" t="s">
        <v>2594</v>
      </c>
    </row>
    <row r="1149" spans="1:12" ht="20.100000000000001" customHeight="1" x14ac:dyDescent="0.25">
      <c r="A1149" s="8">
        <f t="shared" si="17"/>
        <v>1146</v>
      </c>
      <c r="B1149" s="21" t="s">
        <v>2785</v>
      </c>
      <c r="C1149" s="21" t="s">
        <v>2792</v>
      </c>
      <c r="D1149" s="22" t="s">
        <v>2793</v>
      </c>
      <c r="E1149" s="22" t="s">
        <v>24</v>
      </c>
      <c r="F1149" s="22" t="s">
        <v>905</v>
      </c>
      <c r="G1149" s="23">
        <v>40883</v>
      </c>
      <c r="H1149" s="22" t="s">
        <v>438</v>
      </c>
      <c r="I1149" s="22" t="s">
        <v>40</v>
      </c>
      <c r="J1149" s="22" t="s">
        <v>32</v>
      </c>
      <c r="K1149" s="10" t="str">
        <f ca="1">DATEDIF('DATA PENDUDUK'!$G1149,TODAY(),"Y")&amp; " TAHUN"</f>
        <v>13 TAHUN</v>
      </c>
      <c r="L1149" s="24" t="s">
        <v>2594</v>
      </c>
    </row>
    <row r="1150" spans="1:12" ht="20.100000000000001" customHeight="1" x14ac:dyDescent="0.25">
      <c r="A1150" s="8">
        <f t="shared" si="17"/>
        <v>1147</v>
      </c>
      <c r="B1150" s="21" t="s">
        <v>2785</v>
      </c>
      <c r="C1150" s="21" t="s">
        <v>2794</v>
      </c>
      <c r="D1150" s="22" t="s">
        <v>2669</v>
      </c>
      <c r="E1150" s="22" t="s">
        <v>24</v>
      </c>
      <c r="F1150" s="22" t="s">
        <v>30</v>
      </c>
      <c r="G1150" s="23">
        <v>41640</v>
      </c>
      <c r="H1150" s="22" t="s">
        <v>438</v>
      </c>
      <c r="I1150" s="22" t="s">
        <v>40</v>
      </c>
      <c r="J1150" s="22" t="s">
        <v>32</v>
      </c>
      <c r="K1150" s="10" t="str">
        <f ca="1">DATEDIF('DATA PENDUDUK'!$G1150,TODAY(),"Y")&amp; " TAHUN"</f>
        <v>11 TAHUN</v>
      </c>
      <c r="L1150" s="24" t="s">
        <v>2594</v>
      </c>
    </row>
    <row r="1151" spans="1:12" ht="20.100000000000001" customHeight="1" x14ac:dyDescent="0.25">
      <c r="A1151" s="8">
        <f t="shared" si="17"/>
        <v>1148</v>
      </c>
      <c r="B1151" s="21" t="s">
        <v>2785</v>
      </c>
      <c r="C1151" s="21" t="s">
        <v>2795</v>
      </c>
      <c r="D1151" s="22" t="s">
        <v>2796</v>
      </c>
      <c r="E1151" s="22" t="s">
        <v>16</v>
      </c>
      <c r="F1151" s="22" t="s">
        <v>30</v>
      </c>
      <c r="G1151" s="23">
        <v>42370</v>
      </c>
      <c r="H1151" s="22" t="s">
        <v>438</v>
      </c>
      <c r="I1151" s="22" t="s">
        <v>40</v>
      </c>
      <c r="J1151" s="22" t="s">
        <v>32</v>
      </c>
      <c r="K1151" s="10" t="str">
        <f ca="1">DATEDIF('DATA PENDUDUK'!$G1151,TODAY(),"Y")&amp; " TAHUN"</f>
        <v>9 TAHUN</v>
      </c>
      <c r="L1151" s="24" t="s">
        <v>2594</v>
      </c>
    </row>
    <row r="1152" spans="1:12" ht="20.100000000000001" customHeight="1" x14ac:dyDescent="0.25">
      <c r="A1152" s="8">
        <f t="shared" si="17"/>
        <v>1149</v>
      </c>
      <c r="B1152" s="21" t="s">
        <v>2785</v>
      </c>
      <c r="C1152" s="21" t="s">
        <v>2797</v>
      </c>
      <c r="D1152" s="22" t="s">
        <v>2798</v>
      </c>
      <c r="E1152" s="22" t="s">
        <v>16</v>
      </c>
      <c r="F1152" s="22" t="s">
        <v>30</v>
      </c>
      <c r="G1152" s="23">
        <v>43250</v>
      </c>
      <c r="H1152" s="22" t="s">
        <v>438</v>
      </c>
      <c r="I1152" s="22" t="s">
        <v>40</v>
      </c>
      <c r="J1152" s="22" t="s">
        <v>32</v>
      </c>
      <c r="K1152" s="10" t="str">
        <f ca="1">DATEDIF('DATA PENDUDUK'!$G1152,TODAY(),"Y")&amp; " TAHUN"</f>
        <v>7 TAHUN</v>
      </c>
      <c r="L1152" s="24" t="s">
        <v>2594</v>
      </c>
    </row>
    <row r="1153" spans="1:12" ht="20.100000000000001" customHeight="1" x14ac:dyDescent="0.25">
      <c r="A1153" s="8">
        <f t="shared" si="17"/>
        <v>1150</v>
      </c>
      <c r="B1153" s="21" t="s">
        <v>2799</v>
      </c>
      <c r="C1153" s="21" t="s">
        <v>2800</v>
      </c>
      <c r="D1153" s="22" t="s">
        <v>2021</v>
      </c>
      <c r="E1153" s="22" t="s">
        <v>2801</v>
      </c>
      <c r="F1153" s="22" t="s">
        <v>2701</v>
      </c>
      <c r="G1153" s="23">
        <v>37129</v>
      </c>
      <c r="H1153" s="22" t="s">
        <v>438</v>
      </c>
      <c r="I1153" s="22" t="s">
        <v>40</v>
      </c>
      <c r="J1153" s="22" t="s">
        <v>20</v>
      </c>
      <c r="K1153" s="10" t="str">
        <f ca="1">DATEDIF('DATA PENDUDUK'!$G1153,TODAY(),"Y")&amp; " TAHUN"</f>
        <v>23 TAHUN</v>
      </c>
      <c r="L1153" s="24" t="s">
        <v>2594</v>
      </c>
    </row>
    <row r="1154" spans="1:12" ht="20.100000000000001" customHeight="1" x14ac:dyDescent="0.25">
      <c r="A1154" s="8">
        <f t="shared" si="17"/>
        <v>1151</v>
      </c>
      <c r="B1154" s="21" t="s">
        <v>2799</v>
      </c>
      <c r="C1154" s="21" t="s">
        <v>2802</v>
      </c>
      <c r="D1154" s="22" t="s">
        <v>2803</v>
      </c>
      <c r="E1154" s="22" t="s">
        <v>2804</v>
      </c>
      <c r="F1154" s="22" t="s">
        <v>2701</v>
      </c>
      <c r="G1154" s="23">
        <v>37872</v>
      </c>
      <c r="H1154" s="22" t="s">
        <v>438</v>
      </c>
      <c r="I1154" s="22" t="s">
        <v>2598</v>
      </c>
      <c r="J1154" s="22" t="s">
        <v>27</v>
      </c>
      <c r="K1154" s="10" t="str">
        <f ca="1">DATEDIF('DATA PENDUDUK'!$G1154,TODAY(),"Y")&amp; " TAHUN"</f>
        <v>21 TAHUN</v>
      </c>
      <c r="L1154" s="24" t="s">
        <v>2594</v>
      </c>
    </row>
    <row r="1155" spans="1:12" ht="20.100000000000001" customHeight="1" x14ac:dyDescent="0.25">
      <c r="A1155" s="8">
        <f t="shared" si="17"/>
        <v>1152</v>
      </c>
      <c r="B1155" s="21" t="s">
        <v>2799</v>
      </c>
      <c r="C1155" s="21" t="s">
        <v>2805</v>
      </c>
      <c r="D1155" s="22" t="s">
        <v>2806</v>
      </c>
      <c r="E1155" s="22" t="s">
        <v>2801</v>
      </c>
      <c r="F1155" s="22" t="s">
        <v>30</v>
      </c>
      <c r="G1155" s="23">
        <v>44601</v>
      </c>
      <c r="H1155" s="22" t="s">
        <v>438</v>
      </c>
      <c r="I1155" s="22" t="s">
        <v>40</v>
      </c>
      <c r="J1155" s="22" t="s">
        <v>32</v>
      </c>
      <c r="K1155" s="10" t="str">
        <f ca="1">DATEDIF('DATA PENDUDUK'!$G1155,TODAY(),"Y")&amp; " TAHUN"</f>
        <v>3 TAHUN</v>
      </c>
      <c r="L1155" s="24" t="s">
        <v>2594</v>
      </c>
    </row>
    <row r="1156" spans="1:12" ht="20.100000000000001" customHeight="1" x14ac:dyDescent="0.25">
      <c r="A1156" s="8">
        <f t="shared" si="17"/>
        <v>1153</v>
      </c>
      <c r="B1156" s="21" t="s">
        <v>2799</v>
      </c>
      <c r="C1156" s="21" t="s">
        <v>2807</v>
      </c>
      <c r="D1156" s="22" t="s">
        <v>2808</v>
      </c>
      <c r="E1156" s="22" t="s">
        <v>2801</v>
      </c>
      <c r="F1156" s="22" t="s">
        <v>2630</v>
      </c>
      <c r="G1156" s="23">
        <v>43592</v>
      </c>
      <c r="H1156" s="22" t="s">
        <v>438</v>
      </c>
      <c r="I1156" s="22" t="s">
        <v>40</v>
      </c>
      <c r="J1156" s="22" t="s">
        <v>37</v>
      </c>
      <c r="K1156" s="10" t="str">
        <f ca="1">DATEDIF('DATA PENDUDUK'!$G1156,TODAY(),"Y")&amp; " TAHUN"</f>
        <v>6 TAHUN</v>
      </c>
      <c r="L1156" s="24" t="s">
        <v>2594</v>
      </c>
    </row>
    <row r="1157" spans="1:12" ht="20.100000000000001" customHeight="1" x14ac:dyDescent="0.25">
      <c r="A1157" s="8">
        <f t="shared" si="17"/>
        <v>1154</v>
      </c>
      <c r="B1157" s="21" t="s">
        <v>2809</v>
      </c>
      <c r="C1157" s="21" t="s">
        <v>2810</v>
      </c>
      <c r="D1157" s="22" t="s">
        <v>2811</v>
      </c>
      <c r="E1157" s="22" t="s">
        <v>16</v>
      </c>
      <c r="F1157" s="22" t="s">
        <v>2812</v>
      </c>
      <c r="G1157" s="23">
        <v>32932</v>
      </c>
      <c r="H1157" s="22" t="s">
        <v>438</v>
      </c>
      <c r="I1157" s="22" t="s">
        <v>2593</v>
      </c>
      <c r="J1157" s="22" t="s">
        <v>20</v>
      </c>
      <c r="K1157" s="10" t="str">
        <f ca="1">DATEDIF('DATA PENDUDUK'!$G1157,TODAY(),"Y")&amp; " TAHUN"</f>
        <v>35 TAHUN</v>
      </c>
      <c r="L1157" s="24" t="s">
        <v>2594</v>
      </c>
    </row>
    <row r="1158" spans="1:12" ht="20.100000000000001" customHeight="1" x14ac:dyDescent="0.25">
      <c r="A1158" s="8">
        <f t="shared" ref="A1158:A1221" si="18">IF(D1158="","",ROW()-3)</f>
        <v>1155</v>
      </c>
      <c r="B1158" s="21" t="s">
        <v>2809</v>
      </c>
      <c r="C1158" s="21" t="s">
        <v>2813</v>
      </c>
      <c r="D1158" s="22" t="s">
        <v>2814</v>
      </c>
      <c r="E1158" s="22" t="s">
        <v>24</v>
      </c>
      <c r="F1158" s="22" t="s">
        <v>2812</v>
      </c>
      <c r="G1158" s="23">
        <v>36107</v>
      </c>
      <c r="H1158" s="22" t="s">
        <v>438</v>
      </c>
      <c r="I1158" s="22" t="s">
        <v>2598</v>
      </c>
      <c r="J1158" s="22" t="s">
        <v>27</v>
      </c>
      <c r="K1158" s="10" t="str">
        <f ca="1">DATEDIF('DATA PENDUDUK'!$G1158,TODAY(),"Y")&amp; " TAHUN"</f>
        <v>26 TAHUN</v>
      </c>
      <c r="L1158" s="24" t="s">
        <v>2594</v>
      </c>
    </row>
    <row r="1159" spans="1:12" ht="20.100000000000001" customHeight="1" x14ac:dyDescent="0.25">
      <c r="A1159" s="8">
        <f t="shared" si="18"/>
        <v>1156</v>
      </c>
      <c r="B1159" s="21" t="s">
        <v>2815</v>
      </c>
      <c r="C1159" s="21" t="s">
        <v>2654</v>
      </c>
      <c r="D1159" s="22" t="s">
        <v>2655</v>
      </c>
      <c r="E1159" s="22" t="s">
        <v>16</v>
      </c>
      <c r="F1159" s="22" t="s">
        <v>1953</v>
      </c>
      <c r="G1159" s="23">
        <v>36693</v>
      </c>
      <c r="H1159" s="22" t="s">
        <v>438</v>
      </c>
      <c r="I1159" s="22" t="s">
        <v>31</v>
      </c>
      <c r="J1159" s="22" t="s">
        <v>20</v>
      </c>
      <c r="K1159" s="10" t="str">
        <f ca="1">DATEDIF('DATA PENDUDUK'!$G1159,TODAY(),"Y")&amp; " TAHUN"</f>
        <v>25 TAHUN</v>
      </c>
      <c r="L1159" s="24" t="s">
        <v>2594</v>
      </c>
    </row>
    <row r="1160" spans="1:12" ht="20.100000000000001" customHeight="1" x14ac:dyDescent="0.25">
      <c r="A1160" s="8">
        <f t="shared" si="18"/>
        <v>1157</v>
      </c>
      <c r="B1160" s="21" t="s">
        <v>2815</v>
      </c>
      <c r="C1160" s="21" t="s">
        <v>2816</v>
      </c>
      <c r="D1160" s="22" t="s">
        <v>2817</v>
      </c>
      <c r="E1160" s="22" t="s">
        <v>24</v>
      </c>
      <c r="F1160" s="22" t="s">
        <v>1540</v>
      </c>
      <c r="G1160" s="23">
        <v>37976</v>
      </c>
      <c r="H1160" s="22" t="s">
        <v>438</v>
      </c>
      <c r="I1160" s="22" t="s">
        <v>2598</v>
      </c>
      <c r="J1160" s="22" t="s">
        <v>27</v>
      </c>
      <c r="K1160" s="10" t="str">
        <f ca="1">DATEDIF('DATA PENDUDUK'!$G1160,TODAY(),"Y")&amp; " TAHUN"</f>
        <v>21 TAHUN</v>
      </c>
      <c r="L1160" s="24" t="s">
        <v>2594</v>
      </c>
    </row>
    <row r="1161" spans="1:12" ht="20.100000000000001" customHeight="1" x14ac:dyDescent="0.25">
      <c r="A1161" s="8">
        <f t="shared" si="18"/>
        <v>1158</v>
      </c>
      <c r="B1161" s="21" t="s">
        <v>2815</v>
      </c>
      <c r="C1161" s="21" t="s">
        <v>2818</v>
      </c>
      <c r="D1161" s="22" t="s">
        <v>2819</v>
      </c>
      <c r="E1161" s="22" t="s">
        <v>16</v>
      </c>
      <c r="F1161" s="22" t="s">
        <v>1953</v>
      </c>
      <c r="G1161" s="23">
        <v>41195</v>
      </c>
      <c r="H1161" s="22" t="s">
        <v>438</v>
      </c>
      <c r="I1161" s="22" t="s">
        <v>40</v>
      </c>
      <c r="J1161" s="22" t="s">
        <v>37</v>
      </c>
      <c r="K1161" s="10" t="str">
        <f ca="1">DATEDIF('DATA PENDUDUK'!$G1161,TODAY(),"Y")&amp; " TAHUN"</f>
        <v>12 TAHUN</v>
      </c>
      <c r="L1161" s="24" t="s">
        <v>2594</v>
      </c>
    </row>
    <row r="1162" spans="1:12" ht="20.100000000000001" customHeight="1" x14ac:dyDescent="0.25">
      <c r="A1162" s="8">
        <f t="shared" si="18"/>
        <v>1159</v>
      </c>
      <c r="B1162" s="21" t="s">
        <v>2815</v>
      </c>
      <c r="C1162" s="21" t="s">
        <v>2820</v>
      </c>
      <c r="D1162" s="22" t="s">
        <v>2821</v>
      </c>
      <c r="E1162" s="22" t="s">
        <v>16</v>
      </c>
      <c r="F1162" s="22" t="s">
        <v>30</v>
      </c>
      <c r="G1162" s="23">
        <v>42099</v>
      </c>
      <c r="H1162" s="22" t="s">
        <v>438</v>
      </c>
      <c r="I1162" s="22" t="s">
        <v>2728</v>
      </c>
      <c r="J1162" s="22" t="s">
        <v>37</v>
      </c>
      <c r="K1162" s="10" t="str">
        <f ca="1">DATEDIF('DATA PENDUDUK'!$G1162,TODAY(),"Y")&amp; " TAHUN"</f>
        <v>10 TAHUN</v>
      </c>
      <c r="L1162" s="24" t="s">
        <v>2594</v>
      </c>
    </row>
    <row r="1163" spans="1:12" ht="20.100000000000001" customHeight="1" x14ac:dyDescent="0.25">
      <c r="A1163" s="8">
        <f t="shared" si="18"/>
        <v>1160</v>
      </c>
      <c r="B1163" s="21" t="s">
        <v>2815</v>
      </c>
      <c r="C1163" s="21" t="s">
        <v>2822</v>
      </c>
      <c r="D1163" s="22" t="s">
        <v>2823</v>
      </c>
      <c r="E1163" s="22" t="s">
        <v>24</v>
      </c>
      <c r="F1163" s="22" t="s">
        <v>30</v>
      </c>
      <c r="G1163" s="23">
        <v>43262</v>
      </c>
      <c r="H1163" s="22" t="s">
        <v>438</v>
      </c>
      <c r="I1163" s="22" t="s">
        <v>40</v>
      </c>
      <c r="J1163" s="22" t="s">
        <v>37</v>
      </c>
      <c r="K1163" s="10" t="str">
        <f ca="1">DATEDIF('DATA PENDUDUK'!$G1163,TODAY(),"Y")&amp; " TAHUN"</f>
        <v>7 TAHUN</v>
      </c>
      <c r="L1163" s="24" t="s">
        <v>2594</v>
      </c>
    </row>
    <row r="1164" spans="1:12" ht="20.100000000000001" customHeight="1" x14ac:dyDescent="0.25">
      <c r="A1164" s="8">
        <f t="shared" si="18"/>
        <v>1161</v>
      </c>
      <c r="B1164" s="21" t="s">
        <v>2824</v>
      </c>
      <c r="C1164" s="21" t="s">
        <v>2825</v>
      </c>
      <c r="D1164" s="22" t="s">
        <v>2826</v>
      </c>
      <c r="E1164" s="22" t="s">
        <v>24</v>
      </c>
      <c r="F1164" s="22" t="s">
        <v>2827</v>
      </c>
      <c r="G1164" s="23">
        <v>34488</v>
      </c>
      <c r="H1164" s="22" t="s">
        <v>438</v>
      </c>
      <c r="I1164" s="22" t="s">
        <v>2598</v>
      </c>
      <c r="J1164" s="22" t="s">
        <v>20</v>
      </c>
      <c r="K1164" s="10" t="str">
        <f ca="1">DATEDIF('DATA PENDUDUK'!$G1164,TODAY(),"Y")&amp; " TAHUN"</f>
        <v>31 TAHUN</v>
      </c>
      <c r="L1164" s="24" t="s">
        <v>2594</v>
      </c>
    </row>
    <row r="1165" spans="1:12" ht="20.100000000000001" customHeight="1" x14ac:dyDescent="0.25">
      <c r="A1165" s="8">
        <f t="shared" si="18"/>
        <v>1162</v>
      </c>
      <c r="B1165" s="21" t="s">
        <v>2824</v>
      </c>
      <c r="C1165" s="21" t="s">
        <v>2828</v>
      </c>
      <c r="D1165" s="22" t="s">
        <v>2829</v>
      </c>
      <c r="E1165" s="22" t="s">
        <v>16</v>
      </c>
      <c r="F1165" s="22" t="s">
        <v>30</v>
      </c>
      <c r="G1165" s="23">
        <v>41680</v>
      </c>
      <c r="H1165" s="22" t="s">
        <v>438</v>
      </c>
      <c r="I1165" s="22" t="s">
        <v>40</v>
      </c>
      <c r="J1165" s="22" t="s">
        <v>32</v>
      </c>
      <c r="K1165" s="10" t="str">
        <f ca="1">DATEDIF('DATA PENDUDUK'!$G1165,TODAY(),"Y")&amp; " TAHUN"</f>
        <v>11 TAHUN</v>
      </c>
      <c r="L1165" s="24" t="s">
        <v>2594</v>
      </c>
    </row>
    <row r="1166" spans="1:12" ht="20.100000000000001" customHeight="1" x14ac:dyDescent="0.25">
      <c r="A1166" s="8">
        <f t="shared" si="18"/>
        <v>1163</v>
      </c>
      <c r="B1166" s="21" t="s">
        <v>2824</v>
      </c>
      <c r="C1166" s="21" t="s">
        <v>2830</v>
      </c>
      <c r="D1166" s="22" t="s">
        <v>2829</v>
      </c>
      <c r="E1166" s="22" t="s">
        <v>16</v>
      </c>
      <c r="F1166" s="22" t="s">
        <v>30</v>
      </c>
      <c r="G1166" s="23">
        <v>41892</v>
      </c>
      <c r="H1166" s="22" t="s">
        <v>438</v>
      </c>
      <c r="I1166" s="22" t="s">
        <v>40</v>
      </c>
      <c r="J1166" s="22" t="s">
        <v>32</v>
      </c>
      <c r="K1166" s="10" t="str">
        <f ca="1">DATEDIF('DATA PENDUDUK'!$G1166,TODAY(),"Y")&amp; " TAHUN"</f>
        <v>10 TAHUN</v>
      </c>
      <c r="L1166" s="24" t="s">
        <v>2594</v>
      </c>
    </row>
    <row r="1167" spans="1:12" ht="20.100000000000001" customHeight="1" x14ac:dyDescent="0.25">
      <c r="A1167" s="8">
        <f t="shared" si="18"/>
        <v>1164</v>
      </c>
      <c r="B1167" s="21" t="s">
        <v>2824</v>
      </c>
      <c r="C1167" s="21" t="s">
        <v>2831</v>
      </c>
      <c r="D1167" s="22" t="s">
        <v>2832</v>
      </c>
      <c r="E1167" s="22" t="s">
        <v>24</v>
      </c>
      <c r="F1167" s="22" t="s">
        <v>30</v>
      </c>
      <c r="G1167" s="23">
        <v>43042</v>
      </c>
      <c r="H1167" s="22" t="s">
        <v>2833</v>
      </c>
      <c r="I1167" s="22" t="s">
        <v>40</v>
      </c>
      <c r="J1167" s="22" t="s">
        <v>32</v>
      </c>
      <c r="K1167" s="10" t="str">
        <f ca="1">DATEDIF('DATA PENDUDUK'!$G1167,TODAY(),"Y")&amp; " TAHUN"</f>
        <v>7 TAHUN</v>
      </c>
      <c r="L1167" s="24" t="s">
        <v>2594</v>
      </c>
    </row>
    <row r="1168" spans="1:12" ht="20.100000000000001" customHeight="1" x14ac:dyDescent="0.25">
      <c r="A1168" s="8">
        <f t="shared" si="18"/>
        <v>1165</v>
      </c>
      <c r="B1168" s="21" t="s">
        <v>2824</v>
      </c>
      <c r="C1168" s="21" t="s">
        <v>2834</v>
      </c>
      <c r="D1168" s="22" t="s">
        <v>2835</v>
      </c>
      <c r="E1168" s="22" t="s">
        <v>16</v>
      </c>
      <c r="F1168" s="22" t="s">
        <v>30</v>
      </c>
      <c r="G1168" s="23">
        <v>43704</v>
      </c>
      <c r="H1168" s="22" t="s">
        <v>2833</v>
      </c>
      <c r="I1168" s="22" t="s">
        <v>40</v>
      </c>
      <c r="J1168" s="22" t="s">
        <v>32</v>
      </c>
      <c r="K1168" s="10" t="str">
        <f ca="1">DATEDIF('DATA PENDUDUK'!$G1168,TODAY(),"Y")&amp; " TAHUN"</f>
        <v>5 TAHUN</v>
      </c>
      <c r="L1168" s="24" t="s">
        <v>2594</v>
      </c>
    </row>
    <row r="1169" spans="1:12" ht="20.100000000000001" customHeight="1" x14ac:dyDescent="0.25">
      <c r="A1169" s="8">
        <f t="shared" si="18"/>
        <v>1166</v>
      </c>
      <c r="B1169" s="21" t="s">
        <v>2824</v>
      </c>
      <c r="C1169" s="21" t="s">
        <v>2836</v>
      </c>
      <c r="D1169" s="22" t="s">
        <v>2837</v>
      </c>
      <c r="E1169" s="22" t="s">
        <v>24</v>
      </c>
      <c r="F1169" s="22" t="s">
        <v>863</v>
      </c>
      <c r="G1169" s="23">
        <v>35126</v>
      </c>
      <c r="H1169" s="22" t="s">
        <v>2833</v>
      </c>
      <c r="I1169" s="22" t="s">
        <v>2838</v>
      </c>
      <c r="J1169" s="22" t="s">
        <v>37</v>
      </c>
      <c r="K1169" s="10" t="str">
        <f ca="1">DATEDIF('DATA PENDUDUK'!$G1169,TODAY(),"Y")&amp; " TAHUN"</f>
        <v>29 TAHUN</v>
      </c>
      <c r="L1169" s="24" t="s">
        <v>2594</v>
      </c>
    </row>
    <row r="1170" spans="1:12" ht="20.100000000000001" customHeight="1" x14ac:dyDescent="0.25">
      <c r="A1170" s="8">
        <f t="shared" si="18"/>
        <v>1167</v>
      </c>
      <c r="B1170" s="21" t="s">
        <v>2824</v>
      </c>
      <c r="C1170" s="21" t="s">
        <v>2839</v>
      </c>
      <c r="D1170" s="22" t="s">
        <v>2840</v>
      </c>
      <c r="E1170" s="22" t="s">
        <v>16</v>
      </c>
      <c r="F1170" s="22" t="s">
        <v>863</v>
      </c>
      <c r="G1170" s="23">
        <v>35950</v>
      </c>
      <c r="H1170" s="22" t="s">
        <v>2833</v>
      </c>
      <c r="I1170" s="22" t="s">
        <v>40</v>
      </c>
      <c r="J1170" s="22" t="s">
        <v>37</v>
      </c>
      <c r="K1170" s="10" t="str">
        <f ca="1">DATEDIF('DATA PENDUDUK'!$G1170,TODAY(),"Y")&amp; " TAHUN"</f>
        <v>27 TAHUN</v>
      </c>
      <c r="L1170" s="24" t="s">
        <v>2594</v>
      </c>
    </row>
    <row r="1171" spans="1:12" ht="20.100000000000001" customHeight="1" x14ac:dyDescent="0.25">
      <c r="A1171" s="8">
        <f t="shared" si="18"/>
        <v>1168</v>
      </c>
      <c r="B1171" s="21" t="s">
        <v>2841</v>
      </c>
      <c r="C1171" s="21" t="s">
        <v>2842</v>
      </c>
      <c r="D1171" s="22" t="s">
        <v>2843</v>
      </c>
      <c r="E1171" s="22" t="s">
        <v>16</v>
      </c>
      <c r="F1171" s="22" t="s">
        <v>2844</v>
      </c>
      <c r="G1171" s="23">
        <v>34739</v>
      </c>
      <c r="H1171" s="22" t="s">
        <v>438</v>
      </c>
      <c r="I1171" s="22" t="s">
        <v>2593</v>
      </c>
      <c r="J1171" s="22" t="s">
        <v>20</v>
      </c>
      <c r="K1171" s="10" t="str">
        <f ca="1">DATEDIF('DATA PENDUDUK'!$G1171,TODAY(),"Y")&amp; " TAHUN"</f>
        <v>30 TAHUN</v>
      </c>
      <c r="L1171" s="24" t="s">
        <v>2594</v>
      </c>
    </row>
    <row r="1172" spans="1:12" ht="20.100000000000001" customHeight="1" x14ac:dyDescent="0.25">
      <c r="A1172" s="8">
        <f t="shared" si="18"/>
        <v>1169</v>
      </c>
      <c r="B1172" s="21" t="s">
        <v>2841</v>
      </c>
      <c r="C1172" s="21" t="s">
        <v>2845</v>
      </c>
      <c r="D1172" s="22" t="s">
        <v>2846</v>
      </c>
      <c r="E1172" s="22" t="s">
        <v>24</v>
      </c>
      <c r="F1172" s="22" t="s">
        <v>1212</v>
      </c>
      <c r="G1172" s="23">
        <v>36265</v>
      </c>
      <c r="H1172" s="22" t="s">
        <v>438</v>
      </c>
      <c r="I1172" s="22" t="s">
        <v>2598</v>
      </c>
      <c r="J1172" s="22" t="s">
        <v>27</v>
      </c>
      <c r="K1172" s="10" t="str">
        <f ca="1">DATEDIF('DATA PENDUDUK'!$G1172,TODAY(),"Y")&amp; " TAHUN"</f>
        <v>26 TAHUN</v>
      </c>
      <c r="L1172" s="24" t="s">
        <v>2594</v>
      </c>
    </row>
    <row r="1173" spans="1:12" ht="20.100000000000001" customHeight="1" x14ac:dyDescent="0.25">
      <c r="A1173" s="8">
        <f t="shared" si="18"/>
        <v>1170</v>
      </c>
      <c r="B1173" s="21" t="s">
        <v>2841</v>
      </c>
      <c r="C1173" s="21" t="s">
        <v>2847</v>
      </c>
      <c r="D1173" s="22" t="s">
        <v>2848</v>
      </c>
      <c r="E1173" s="22" t="s">
        <v>16</v>
      </c>
      <c r="F1173" s="22" t="s">
        <v>1540</v>
      </c>
      <c r="G1173" s="23">
        <v>36712</v>
      </c>
      <c r="H1173" s="22" t="s">
        <v>438</v>
      </c>
      <c r="I1173" s="22" t="s">
        <v>31</v>
      </c>
      <c r="J1173" s="22" t="s">
        <v>32</v>
      </c>
      <c r="K1173" s="10" t="str">
        <f ca="1">DATEDIF('DATA PENDUDUK'!$G1173,TODAY(),"Y")&amp; " TAHUN"</f>
        <v>25 TAHUN</v>
      </c>
      <c r="L1173" s="24" t="s">
        <v>2594</v>
      </c>
    </row>
    <row r="1174" spans="1:12" ht="20.100000000000001" customHeight="1" x14ac:dyDescent="0.25">
      <c r="A1174" s="8">
        <f t="shared" si="18"/>
        <v>1171</v>
      </c>
      <c r="B1174" s="21" t="s">
        <v>2841</v>
      </c>
      <c r="C1174" s="21" t="s">
        <v>2849</v>
      </c>
      <c r="D1174" s="22" t="s">
        <v>2850</v>
      </c>
      <c r="E1174" s="22" t="s">
        <v>16</v>
      </c>
      <c r="F1174" s="22" t="s">
        <v>1540</v>
      </c>
      <c r="G1174" s="23">
        <v>38693</v>
      </c>
      <c r="H1174" s="22" t="s">
        <v>438</v>
      </c>
      <c r="I1174" s="22" t="s">
        <v>31</v>
      </c>
      <c r="J1174" s="22" t="s">
        <v>32</v>
      </c>
      <c r="K1174" s="10" t="str">
        <f ca="1">DATEDIF('DATA PENDUDUK'!$G1174,TODAY(),"Y")&amp; " TAHUN"</f>
        <v>19 TAHUN</v>
      </c>
      <c r="L1174" s="24" t="s">
        <v>2594</v>
      </c>
    </row>
    <row r="1175" spans="1:12" ht="20.100000000000001" customHeight="1" x14ac:dyDescent="0.25">
      <c r="A1175" s="8">
        <f t="shared" si="18"/>
        <v>1172</v>
      </c>
      <c r="B1175" s="21" t="s">
        <v>2841</v>
      </c>
      <c r="C1175" s="21" t="s">
        <v>2851</v>
      </c>
      <c r="D1175" s="22" t="s">
        <v>2852</v>
      </c>
      <c r="E1175" s="22" t="s">
        <v>16</v>
      </c>
      <c r="F1175" s="22" t="s">
        <v>30</v>
      </c>
      <c r="G1175" s="23">
        <v>39699</v>
      </c>
      <c r="H1175" s="22" t="s">
        <v>438</v>
      </c>
      <c r="I1175" s="22" t="s">
        <v>31</v>
      </c>
      <c r="J1175" s="22" t="s">
        <v>32</v>
      </c>
      <c r="K1175" s="10" t="str">
        <f ca="1">DATEDIF('DATA PENDUDUK'!$G1175,TODAY(),"Y")&amp; " TAHUN"</f>
        <v>16 TAHUN</v>
      </c>
      <c r="L1175" s="24" t="s">
        <v>2594</v>
      </c>
    </row>
    <row r="1176" spans="1:12" ht="20.100000000000001" customHeight="1" x14ac:dyDescent="0.25">
      <c r="A1176" s="8">
        <f t="shared" si="18"/>
        <v>1173</v>
      </c>
      <c r="B1176" s="21" t="s">
        <v>2853</v>
      </c>
      <c r="C1176" s="21" t="s">
        <v>2854</v>
      </c>
      <c r="D1176" s="22" t="s">
        <v>2855</v>
      </c>
      <c r="E1176" s="22" t="s">
        <v>16</v>
      </c>
      <c r="F1176" s="22" t="s">
        <v>2856</v>
      </c>
      <c r="G1176" s="23">
        <v>25042</v>
      </c>
      <c r="H1176" s="22" t="s">
        <v>438</v>
      </c>
      <c r="I1176" s="22" t="s">
        <v>2857</v>
      </c>
      <c r="J1176" s="22" t="s">
        <v>20</v>
      </c>
      <c r="K1176" s="10" t="str">
        <f ca="1">DATEDIF('DATA PENDUDUK'!$G1176,TODAY(),"Y")&amp; " TAHUN"</f>
        <v>57 TAHUN</v>
      </c>
      <c r="L1176" s="24" t="s">
        <v>2594</v>
      </c>
    </row>
    <row r="1177" spans="1:12" ht="20.100000000000001" customHeight="1" x14ac:dyDescent="0.25">
      <c r="A1177" s="8">
        <f t="shared" si="18"/>
        <v>1174</v>
      </c>
      <c r="B1177" s="21" t="s">
        <v>2853</v>
      </c>
      <c r="C1177" s="21" t="s">
        <v>2858</v>
      </c>
      <c r="D1177" s="22" t="s">
        <v>2859</v>
      </c>
      <c r="E1177" s="22" t="s">
        <v>24</v>
      </c>
      <c r="F1177" s="22" t="s">
        <v>1076</v>
      </c>
      <c r="G1177" s="23">
        <v>27021</v>
      </c>
      <c r="H1177" s="22" t="s">
        <v>438</v>
      </c>
      <c r="I1177" s="22" t="s">
        <v>40</v>
      </c>
      <c r="J1177" s="22" t="s">
        <v>27</v>
      </c>
      <c r="K1177" s="10" t="str">
        <f ca="1">DATEDIF('DATA PENDUDUK'!$G1177,TODAY(),"Y")&amp; " TAHUN"</f>
        <v>51 TAHUN</v>
      </c>
      <c r="L1177" s="24" t="s">
        <v>2594</v>
      </c>
    </row>
    <row r="1178" spans="1:12" ht="20.100000000000001" customHeight="1" x14ac:dyDescent="0.25">
      <c r="A1178" s="8">
        <f t="shared" si="18"/>
        <v>1175</v>
      </c>
      <c r="B1178" s="21" t="s">
        <v>2853</v>
      </c>
      <c r="C1178" s="21" t="s">
        <v>2860</v>
      </c>
      <c r="D1178" s="22" t="s">
        <v>2861</v>
      </c>
      <c r="E1178" s="22" t="s">
        <v>24</v>
      </c>
      <c r="F1178" s="22" t="s">
        <v>1865</v>
      </c>
      <c r="G1178" s="23">
        <v>34853</v>
      </c>
      <c r="H1178" s="22" t="s">
        <v>438</v>
      </c>
      <c r="I1178" s="22" t="s">
        <v>40</v>
      </c>
      <c r="J1178" s="22" t="s">
        <v>32</v>
      </c>
      <c r="K1178" s="10" t="str">
        <f ca="1">DATEDIF('DATA PENDUDUK'!$G1178,TODAY(),"Y")&amp; " TAHUN"</f>
        <v>30 TAHUN</v>
      </c>
      <c r="L1178" s="24" t="s">
        <v>2594</v>
      </c>
    </row>
    <row r="1179" spans="1:12" ht="20.100000000000001" customHeight="1" x14ac:dyDescent="0.25">
      <c r="A1179" s="8">
        <f t="shared" si="18"/>
        <v>1176</v>
      </c>
      <c r="B1179" s="21" t="s">
        <v>2853</v>
      </c>
      <c r="C1179" s="21" t="s">
        <v>2862</v>
      </c>
      <c r="D1179" s="22" t="s">
        <v>2863</v>
      </c>
      <c r="E1179" s="22" t="s">
        <v>16</v>
      </c>
      <c r="F1179" s="22" t="s">
        <v>30</v>
      </c>
      <c r="G1179" s="23">
        <v>37099</v>
      </c>
      <c r="H1179" s="22" t="s">
        <v>438</v>
      </c>
      <c r="I1179" s="22" t="s">
        <v>2864</v>
      </c>
      <c r="J1179" s="22" t="s">
        <v>32</v>
      </c>
      <c r="K1179" s="10" t="str">
        <f ca="1">DATEDIF('DATA PENDUDUK'!$G1179,TODAY(),"Y")&amp; " TAHUN"</f>
        <v>23 TAHUN</v>
      </c>
      <c r="L1179" s="24" t="s">
        <v>2594</v>
      </c>
    </row>
    <row r="1180" spans="1:12" ht="20.100000000000001" customHeight="1" x14ac:dyDescent="0.25">
      <c r="A1180" s="8">
        <f t="shared" si="18"/>
        <v>1177</v>
      </c>
      <c r="B1180" s="21" t="s">
        <v>2853</v>
      </c>
      <c r="C1180" s="21" t="s">
        <v>2865</v>
      </c>
      <c r="D1180" s="22" t="s">
        <v>2866</v>
      </c>
      <c r="E1180" s="22" t="s">
        <v>24</v>
      </c>
      <c r="F1180" s="22" t="s">
        <v>30</v>
      </c>
      <c r="G1180" s="23">
        <v>38682</v>
      </c>
      <c r="H1180" s="22" t="s">
        <v>438</v>
      </c>
      <c r="I1180" s="22" t="s">
        <v>40</v>
      </c>
      <c r="J1180" s="22" t="s">
        <v>32</v>
      </c>
      <c r="K1180" s="10" t="str">
        <f ca="1">DATEDIF('DATA PENDUDUK'!$G1180,TODAY(),"Y")&amp; " TAHUN"</f>
        <v>19 TAHUN</v>
      </c>
      <c r="L1180" s="24" t="s">
        <v>2594</v>
      </c>
    </row>
    <row r="1181" spans="1:12" ht="20.100000000000001" customHeight="1" x14ac:dyDescent="0.25">
      <c r="A1181" s="8">
        <f t="shared" si="18"/>
        <v>1178</v>
      </c>
      <c r="B1181" s="21" t="s">
        <v>2853</v>
      </c>
      <c r="C1181" s="21" t="s">
        <v>2867</v>
      </c>
      <c r="D1181" s="22" t="s">
        <v>2868</v>
      </c>
      <c r="E1181" s="22" t="s">
        <v>16</v>
      </c>
      <c r="F1181" s="22" t="s">
        <v>30</v>
      </c>
      <c r="G1181" s="23">
        <v>39269</v>
      </c>
      <c r="H1181" s="22" t="s">
        <v>438</v>
      </c>
      <c r="I1181" s="22" t="s">
        <v>40</v>
      </c>
      <c r="J1181" s="22" t="s">
        <v>32</v>
      </c>
      <c r="K1181" s="10" t="str">
        <f ca="1">DATEDIF('DATA PENDUDUK'!$G1181,TODAY(),"Y")&amp; " TAHUN"</f>
        <v>18 TAHUN</v>
      </c>
      <c r="L1181" s="24" t="s">
        <v>2594</v>
      </c>
    </row>
    <row r="1182" spans="1:12" ht="20.100000000000001" customHeight="1" x14ac:dyDescent="0.25">
      <c r="A1182" s="8">
        <f t="shared" si="18"/>
        <v>1179</v>
      </c>
      <c r="B1182" s="21" t="s">
        <v>2853</v>
      </c>
      <c r="C1182" s="21" t="s">
        <v>2869</v>
      </c>
      <c r="D1182" s="22" t="s">
        <v>2870</v>
      </c>
      <c r="E1182" s="22" t="s">
        <v>24</v>
      </c>
      <c r="F1182" s="22" t="s">
        <v>336</v>
      </c>
      <c r="G1182" s="23">
        <v>28580</v>
      </c>
      <c r="H1182" s="22" t="s">
        <v>35</v>
      </c>
      <c r="I1182" s="22" t="s">
        <v>40</v>
      </c>
      <c r="J1182" s="22" t="s">
        <v>37</v>
      </c>
      <c r="K1182" s="10" t="str">
        <f ca="1">DATEDIF('DATA PENDUDUK'!$G1182,TODAY(),"Y")&amp; " TAHUN"</f>
        <v>47 TAHUN</v>
      </c>
      <c r="L1182" s="24" t="s">
        <v>2594</v>
      </c>
    </row>
    <row r="1183" spans="1:12" ht="20.100000000000001" customHeight="1" x14ac:dyDescent="0.25">
      <c r="A1183" s="8">
        <f t="shared" si="18"/>
        <v>1180</v>
      </c>
      <c r="B1183" s="21" t="s">
        <v>2871</v>
      </c>
      <c r="C1183" s="21" t="s">
        <v>2872</v>
      </c>
      <c r="D1183" s="22" t="s">
        <v>2873</v>
      </c>
      <c r="E1183" s="22" t="s">
        <v>16</v>
      </c>
      <c r="F1183" s="22" t="s">
        <v>955</v>
      </c>
      <c r="G1183" s="23">
        <v>27469</v>
      </c>
      <c r="H1183" s="22" t="s">
        <v>438</v>
      </c>
      <c r="I1183" s="22" t="s">
        <v>2593</v>
      </c>
      <c r="J1183" s="22" t="s">
        <v>20</v>
      </c>
      <c r="K1183" s="10" t="str">
        <f ca="1">DATEDIF('DATA PENDUDUK'!$G1183,TODAY(),"Y")&amp; " TAHUN"</f>
        <v>50 TAHUN</v>
      </c>
      <c r="L1183" s="24" t="s">
        <v>2594</v>
      </c>
    </row>
    <row r="1184" spans="1:12" ht="20.100000000000001" customHeight="1" x14ac:dyDescent="0.25">
      <c r="A1184" s="8">
        <f t="shared" si="18"/>
        <v>1181</v>
      </c>
      <c r="B1184" s="21" t="s">
        <v>2871</v>
      </c>
      <c r="C1184" s="21" t="s">
        <v>2874</v>
      </c>
      <c r="D1184" s="22" t="s">
        <v>2875</v>
      </c>
      <c r="E1184" s="22" t="s">
        <v>24</v>
      </c>
      <c r="F1184" s="22" t="s">
        <v>955</v>
      </c>
      <c r="G1184" s="23">
        <v>29145</v>
      </c>
      <c r="H1184" s="22" t="s">
        <v>438</v>
      </c>
      <c r="I1184" s="22" t="s">
        <v>2598</v>
      </c>
      <c r="J1184" s="22" t="s">
        <v>27</v>
      </c>
      <c r="K1184" s="10" t="str">
        <f ca="1">DATEDIF('DATA PENDUDUK'!$G1184,TODAY(),"Y")&amp; " TAHUN"</f>
        <v>45 TAHUN</v>
      </c>
      <c r="L1184" s="24" t="s">
        <v>2594</v>
      </c>
    </row>
    <row r="1185" spans="1:12" ht="20.100000000000001" customHeight="1" x14ac:dyDescent="0.25">
      <c r="A1185" s="8">
        <f t="shared" si="18"/>
        <v>1182</v>
      </c>
      <c r="B1185" s="21" t="s">
        <v>2876</v>
      </c>
      <c r="C1185" s="21" t="s">
        <v>2877</v>
      </c>
      <c r="D1185" s="22" t="s">
        <v>2878</v>
      </c>
      <c r="E1185" s="22" t="s">
        <v>16</v>
      </c>
      <c r="F1185" s="22" t="s">
        <v>2879</v>
      </c>
      <c r="G1185" s="23">
        <v>32690</v>
      </c>
      <c r="H1185" s="22" t="s">
        <v>35</v>
      </c>
      <c r="I1185" s="22" t="s">
        <v>2593</v>
      </c>
      <c r="J1185" s="22" t="s">
        <v>20</v>
      </c>
      <c r="K1185" s="10" t="str">
        <f ca="1">DATEDIF('DATA PENDUDUK'!$G1185,TODAY(),"Y")&amp; " TAHUN"</f>
        <v>36 TAHUN</v>
      </c>
      <c r="L1185" s="24" t="s">
        <v>2594</v>
      </c>
    </row>
    <row r="1186" spans="1:12" ht="20.100000000000001" customHeight="1" x14ac:dyDescent="0.25">
      <c r="A1186" s="8">
        <f t="shared" si="18"/>
        <v>1183</v>
      </c>
      <c r="B1186" s="21" t="s">
        <v>2876</v>
      </c>
      <c r="C1186" s="21" t="s">
        <v>2880</v>
      </c>
      <c r="D1186" s="22" t="s">
        <v>2455</v>
      </c>
      <c r="E1186" s="22" t="s">
        <v>24</v>
      </c>
      <c r="F1186" s="22" t="s">
        <v>2881</v>
      </c>
      <c r="G1186" s="23">
        <v>34516</v>
      </c>
      <c r="H1186" s="22" t="s">
        <v>35</v>
      </c>
      <c r="I1186" s="22" t="s">
        <v>2598</v>
      </c>
      <c r="J1186" s="22" t="s">
        <v>27</v>
      </c>
      <c r="K1186" s="10" t="str">
        <f ca="1">DATEDIF('DATA PENDUDUK'!$G1186,TODAY(),"Y")&amp; " TAHUN"</f>
        <v>31 TAHUN</v>
      </c>
      <c r="L1186" s="24" t="s">
        <v>2594</v>
      </c>
    </row>
    <row r="1187" spans="1:12" ht="20.100000000000001" customHeight="1" x14ac:dyDescent="0.25">
      <c r="A1187" s="8">
        <f t="shared" si="18"/>
        <v>1184</v>
      </c>
      <c r="B1187" s="21" t="s">
        <v>2876</v>
      </c>
      <c r="C1187" s="21" t="s">
        <v>2882</v>
      </c>
      <c r="D1187" s="22" t="s">
        <v>2883</v>
      </c>
      <c r="E1187" s="22" t="s">
        <v>16</v>
      </c>
      <c r="F1187" s="22" t="s">
        <v>30</v>
      </c>
      <c r="G1187" s="23">
        <v>42333</v>
      </c>
      <c r="H1187" s="22" t="s">
        <v>35</v>
      </c>
      <c r="I1187" s="22" t="s">
        <v>40</v>
      </c>
      <c r="J1187" s="22" t="s">
        <v>32</v>
      </c>
      <c r="K1187" s="10" t="str">
        <f ca="1">DATEDIF('DATA PENDUDUK'!$G1187,TODAY(),"Y")&amp; " TAHUN"</f>
        <v>9 TAHUN</v>
      </c>
      <c r="L1187" s="24" t="s">
        <v>2594</v>
      </c>
    </row>
    <row r="1188" spans="1:12" ht="20.100000000000001" customHeight="1" x14ac:dyDescent="0.25">
      <c r="A1188" s="8">
        <f t="shared" si="18"/>
        <v>1185</v>
      </c>
      <c r="B1188" s="21" t="s">
        <v>2884</v>
      </c>
      <c r="C1188" s="21" t="s">
        <v>2885</v>
      </c>
      <c r="D1188" s="22" t="s">
        <v>2886</v>
      </c>
      <c r="E1188" s="22" t="s">
        <v>16</v>
      </c>
      <c r="F1188" s="22" t="s">
        <v>2812</v>
      </c>
      <c r="G1188" s="23">
        <v>24864</v>
      </c>
      <c r="H1188" s="22" t="s">
        <v>438</v>
      </c>
      <c r="I1188" s="22" t="s">
        <v>2593</v>
      </c>
      <c r="J1188" s="22" t="s">
        <v>20</v>
      </c>
      <c r="K1188" s="10" t="str">
        <f ca="1">DATEDIF('DATA PENDUDUK'!$G1188,TODAY(),"Y")&amp; " TAHUN"</f>
        <v>57 TAHUN</v>
      </c>
      <c r="L1188" s="24" t="s">
        <v>2594</v>
      </c>
    </row>
    <row r="1189" spans="1:12" ht="20.100000000000001" customHeight="1" x14ac:dyDescent="0.25">
      <c r="A1189" s="8">
        <f t="shared" si="18"/>
        <v>1186</v>
      </c>
      <c r="B1189" s="21" t="s">
        <v>2884</v>
      </c>
      <c r="C1189" s="21" t="s">
        <v>2887</v>
      </c>
      <c r="D1189" s="22" t="s">
        <v>2888</v>
      </c>
      <c r="E1189" s="22" t="s">
        <v>24</v>
      </c>
      <c r="F1189" s="22" t="s">
        <v>2812</v>
      </c>
      <c r="G1189" s="23">
        <v>25915</v>
      </c>
      <c r="H1189" s="22" t="s">
        <v>438</v>
      </c>
      <c r="I1189" s="22" t="s">
        <v>2598</v>
      </c>
      <c r="J1189" s="22" t="s">
        <v>27</v>
      </c>
      <c r="K1189" s="10" t="str">
        <f ca="1">DATEDIF('DATA PENDUDUK'!$G1189,TODAY(),"Y")&amp; " TAHUN"</f>
        <v>54 TAHUN</v>
      </c>
      <c r="L1189" s="24" t="s">
        <v>2594</v>
      </c>
    </row>
    <row r="1190" spans="1:12" ht="20.100000000000001" customHeight="1" x14ac:dyDescent="0.25">
      <c r="A1190" s="8">
        <f t="shared" si="18"/>
        <v>1187</v>
      </c>
      <c r="B1190" s="21" t="s">
        <v>2884</v>
      </c>
      <c r="C1190" s="21" t="s">
        <v>2889</v>
      </c>
      <c r="D1190" s="22" t="s">
        <v>2890</v>
      </c>
      <c r="E1190" s="22" t="s">
        <v>16</v>
      </c>
      <c r="F1190" s="22" t="s">
        <v>2812</v>
      </c>
      <c r="G1190" s="23">
        <v>34393</v>
      </c>
      <c r="H1190" s="22" t="s">
        <v>438</v>
      </c>
      <c r="I1190" s="22" t="s">
        <v>40</v>
      </c>
      <c r="J1190" s="22" t="s">
        <v>32</v>
      </c>
      <c r="K1190" s="10" t="str">
        <f ca="1">DATEDIF('DATA PENDUDUK'!$G1190,TODAY(),"Y")&amp; " TAHUN"</f>
        <v>31 TAHUN</v>
      </c>
      <c r="L1190" s="24" t="s">
        <v>2594</v>
      </c>
    </row>
    <row r="1191" spans="1:12" ht="20.100000000000001" customHeight="1" x14ac:dyDescent="0.25">
      <c r="A1191" s="8">
        <f t="shared" si="18"/>
        <v>1188</v>
      </c>
      <c r="B1191" s="21" t="s">
        <v>2884</v>
      </c>
      <c r="C1191" s="21" t="s">
        <v>2891</v>
      </c>
      <c r="D1191" s="22" t="s">
        <v>2892</v>
      </c>
      <c r="E1191" s="22" t="s">
        <v>24</v>
      </c>
      <c r="F1191" s="22" t="s">
        <v>2812</v>
      </c>
      <c r="G1191" s="23">
        <v>36032</v>
      </c>
      <c r="H1191" s="22" t="s">
        <v>438</v>
      </c>
      <c r="I1191" s="22" t="s">
        <v>40</v>
      </c>
      <c r="J1191" s="22" t="s">
        <v>32</v>
      </c>
      <c r="K1191" s="10" t="str">
        <f ca="1">DATEDIF('DATA PENDUDUK'!$G1191,TODAY(),"Y")&amp; " TAHUN"</f>
        <v>26 TAHUN</v>
      </c>
      <c r="L1191" s="24" t="s">
        <v>2594</v>
      </c>
    </row>
    <row r="1192" spans="1:12" ht="20.100000000000001" customHeight="1" x14ac:dyDescent="0.25">
      <c r="A1192" s="8">
        <f t="shared" si="18"/>
        <v>1189</v>
      </c>
      <c r="B1192" s="21" t="s">
        <v>2884</v>
      </c>
      <c r="C1192" s="21" t="s">
        <v>2893</v>
      </c>
      <c r="D1192" s="22" t="s">
        <v>2894</v>
      </c>
      <c r="E1192" s="22" t="s">
        <v>16</v>
      </c>
      <c r="F1192" s="22" t="s">
        <v>2812</v>
      </c>
      <c r="G1192" s="23">
        <v>40374</v>
      </c>
      <c r="H1192" s="22" t="s">
        <v>438</v>
      </c>
      <c r="I1192" s="22" t="s">
        <v>40</v>
      </c>
      <c r="J1192" s="22" t="s">
        <v>32</v>
      </c>
      <c r="K1192" s="10" t="str">
        <f ca="1">DATEDIF('DATA PENDUDUK'!$G1192,TODAY(),"Y")&amp; " TAHUN"</f>
        <v>15 TAHUN</v>
      </c>
      <c r="L1192" s="24" t="s">
        <v>2594</v>
      </c>
    </row>
    <row r="1193" spans="1:12" ht="20.100000000000001" customHeight="1" x14ac:dyDescent="0.25">
      <c r="A1193" s="8">
        <f t="shared" si="18"/>
        <v>1190</v>
      </c>
      <c r="B1193" s="21" t="s">
        <v>2895</v>
      </c>
      <c r="C1193" s="21" t="s">
        <v>2896</v>
      </c>
      <c r="D1193" s="22" t="s">
        <v>2897</v>
      </c>
      <c r="E1193" s="22" t="s">
        <v>16</v>
      </c>
      <c r="F1193" s="22" t="s">
        <v>2898</v>
      </c>
      <c r="G1193" s="23">
        <v>30840</v>
      </c>
      <c r="H1193" s="22" t="s">
        <v>35</v>
      </c>
      <c r="I1193" s="22" t="s">
        <v>19</v>
      </c>
      <c r="J1193" s="22" t="s">
        <v>20</v>
      </c>
      <c r="K1193" s="10" t="str">
        <f ca="1">DATEDIF('DATA PENDUDUK'!$G1193,TODAY(),"Y")&amp; " TAHUN"</f>
        <v>41 TAHUN</v>
      </c>
      <c r="L1193" s="24" t="s">
        <v>2594</v>
      </c>
    </row>
    <row r="1194" spans="1:12" ht="20.100000000000001" customHeight="1" x14ac:dyDescent="0.25">
      <c r="A1194" s="8">
        <f t="shared" si="18"/>
        <v>1191</v>
      </c>
      <c r="B1194" s="21" t="s">
        <v>2895</v>
      </c>
      <c r="C1194" s="21" t="s">
        <v>2899</v>
      </c>
      <c r="D1194" s="22" t="s">
        <v>2900</v>
      </c>
      <c r="E1194" s="22" t="s">
        <v>24</v>
      </c>
      <c r="F1194" s="22" t="s">
        <v>2901</v>
      </c>
      <c r="G1194" s="23">
        <v>31035</v>
      </c>
      <c r="H1194" s="22" t="s">
        <v>35</v>
      </c>
      <c r="I1194" s="22" t="s">
        <v>2598</v>
      </c>
      <c r="J1194" s="22" t="s">
        <v>27</v>
      </c>
      <c r="K1194" s="10" t="str">
        <f ca="1">DATEDIF('DATA PENDUDUK'!$G1194,TODAY(),"Y")&amp; " TAHUN"</f>
        <v>40 TAHUN</v>
      </c>
      <c r="L1194" s="24" t="s">
        <v>2594</v>
      </c>
    </row>
    <row r="1195" spans="1:12" ht="20.100000000000001" customHeight="1" x14ac:dyDescent="0.25">
      <c r="A1195" s="8">
        <f t="shared" si="18"/>
        <v>1192</v>
      </c>
      <c r="B1195" s="21" t="s">
        <v>2895</v>
      </c>
      <c r="C1195" s="21" t="s">
        <v>2902</v>
      </c>
      <c r="D1195" s="22" t="s">
        <v>2903</v>
      </c>
      <c r="E1195" s="22" t="s">
        <v>2904</v>
      </c>
      <c r="F1195" s="22" t="s">
        <v>2901</v>
      </c>
      <c r="G1195" s="23">
        <v>39184</v>
      </c>
      <c r="H1195" s="22" t="s">
        <v>35</v>
      </c>
      <c r="I1195" s="22" t="s">
        <v>31</v>
      </c>
      <c r="J1195" s="22" t="s">
        <v>32</v>
      </c>
      <c r="K1195" s="10" t="str">
        <f ca="1">DATEDIF('DATA PENDUDUK'!$G1195,TODAY(),"Y")&amp; " TAHUN"</f>
        <v>18 TAHUN</v>
      </c>
      <c r="L1195" s="24" t="s">
        <v>2594</v>
      </c>
    </row>
    <row r="1196" spans="1:12" ht="20.100000000000001" customHeight="1" x14ac:dyDescent="0.25">
      <c r="A1196" s="8">
        <f t="shared" si="18"/>
        <v>1193</v>
      </c>
      <c r="B1196" s="21" t="s">
        <v>2895</v>
      </c>
      <c r="C1196" s="21" t="s">
        <v>2905</v>
      </c>
      <c r="D1196" s="22" t="s">
        <v>2906</v>
      </c>
      <c r="E1196" s="22" t="s">
        <v>16</v>
      </c>
      <c r="F1196" s="22" t="s">
        <v>2901</v>
      </c>
      <c r="G1196" s="23">
        <v>41410</v>
      </c>
      <c r="H1196" s="22" t="s">
        <v>35</v>
      </c>
      <c r="I1196" s="22" t="s">
        <v>40</v>
      </c>
      <c r="J1196" s="22" t="s">
        <v>32</v>
      </c>
      <c r="K1196" s="10" t="str">
        <f ca="1">DATEDIF('DATA PENDUDUK'!$G1196,TODAY(),"Y")&amp; " TAHUN"</f>
        <v>12 TAHUN</v>
      </c>
      <c r="L1196" s="24" t="s">
        <v>2594</v>
      </c>
    </row>
    <row r="1197" spans="1:12" ht="20.100000000000001" customHeight="1" x14ac:dyDescent="0.25">
      <c r="A1197" s="8">
        <f t="shared" si="18"/>
        <v>1194</v>
      </c>
      <c r="B1197" s="21" t="s">
        <v>2907</v>
      </c>
      <c r="C1197" s="21" t="s">
        <v>2908</v>
      </c>
      <c r="D1197" s="22" t="s">
        <v>2909</v>
      </c>
      <c r="E1197" s="22" t="s">
        <v>16</v>
      </c>
      <c r="F1197" s="22" t="s">
        <v>1240</v>
      </c>
      <c r="G1197" s="23">
        <v>20385</v>
      </c>
      <c r="H1197" s="22" t="s">
        <v>438</v>
      </c>
      <c r="I1197" s="22" t="s">
        <v>1578</v>
      </c>
      <c r="J1197" s="22" t="s">
        <v>20</v>
      </c>
      <c r="K1197" s="10" t="str">
        <f ca="1">DATEDIF('DATA PENDUDUK'!$G1197,TODAY(),"Y")&amp; " TAHUN"</f>
        <v>69 TAHUN</v>
      </c>
      <c r="L1197" s="24" t="s">
        <v>2910</v>
      </c>
    </row>
    <row r="1198" spans="1:12" ht="20.100000000000001" customHeight="1" x14ac:dyDescent="0.25">
      <c r="A1198" s="8">
        <f t="shared" si="18"/>
        <v>1195</v>
      </c>
      <c r="B1198" s="21" t="s">
        <v>2907</v>
      </c>
      <c r="C1198" s="21" t="s">
        <v>2911</v>
      </c>
      <c r="D1198" s="22" t="s">
        <v>2912</v>
      </c>
      <c r="E1198" s="22" t="s">
        <v>24</v>
      </c>
      <c r="F1198" s="22" t="s">
        <v>366</v>
      </c>
      <c r="G1198" s="23">
        <v>23082</v>
      </c>
      <c r="H1198" s="22" t="s">
        <v>18</v>
      </c>
      <c r="I1198" s="22" t="s">
        <v>2598</v>
      </c>
      <c r="J1198" s="22" t="s">
        <v>27</v>
      </c>
      <c r="K1198" s="10" t="str">
        <f ca="1">DATEDIF('DATA PENDUDUK'!$G1198,TODAY(),"Y")&amp; " TAHUN"</f>
        <v>62 TAHUN</v>
      </c>
      <c r="L1198" s="24" t="s">
        <v>2910</v>
      </c>
    </row>
    <row r="1199" spans="1:12" ht="20.100000000000001" customHeight="1" x14ac:dyDescent="0.25">
      <c r="A1199" s="8">
        <f t="shared" si="18"/>
        <v>1196</v>
      </c>
      <c r="B1199" s="21" t="s">
        <v>2907</v>
      </c>
      <c r="C1199" s="21" t="s">
        <v>2913</v>
      </c>
      <c r="D1199" s="22" t="s">
        <v>2914</v>
      </c>
      <c r="E1199" s="22" t="s">
        <v>24</v>
      </c>
      <c r="F1199" s="22" t="s">
        <v>2915</v>
      </c>
      <c r="G1199" s="23">
        <v>28562</v>
      </c>
      <c r="H1199" s="22" t="s">
        <v>18</v>
      </c>
      <c r="I1199" s="22" t="s">
        <v>73</v>
      </c>
      <c r="J1199" s="22" t="s">
        <v>32</v>
      </c>
      <c r="K1199" s="10" t="str">
        <f ca="1">DATEDIF('DATA PENDUDUK'!$G1199,TODAY(),"Y")&amp; " TAHUN"</f>
        <v>47 TAHUN</v>
      </c>
      <c r="L1199" s="24" t="s">
        <v>2910</v>
      </c>
    </row>
    <row r="1200" spans="1:12" ht="20.100000000000001" customHeight="1" x14ac:dyDescent="0.25">
      <c r="A1200" s="8">
        <f t="shared" si="18"/>
        <v>1197</v>
      </c>
      <c r="B1200" s="21" t="s">
        <v>2907</v>
      </c>
      <c r="C1200" s="21" t="s">
        <v>2916</v>
      </c>
      <c r="D1200" s="22" t="s">
        <v>2917</v>
      </c>
      <c r="E1200" s="22" t="s">
        <v>24</v>
      </c>
      <c r="F1200" s="22" t="s">
        <v>1487</v>
      </c>
      <c r="G1200" s="23">
        <v>30754</v>
      </c>
      <c r="H1200" s="22" t="s">
        <v>18</v>
      </c>
      <c r="I1200" s="22" t="s">
        <v>40</v>
      </c>
      <c r="J1200" s="22" t="s">
        <v>32</v>
      </c>
      <c r="K1200" s="10" t="str">
        <f ca="1">DATEDIF('DATA PENDUDUK'!$G1200,TODAY(),"Y")&amp; " TAHUN"</f>
        <v>41 TAHUN</v>
      </c>
      <c r="L1200" s="24" t="s">
        <v>2910</v>
      </c>
    </row>
    <row r="1201" spans="1:12" ht="20.100000000000001" customHeight="1" x14ac:dyDescent="0.25">
      <c r="A1201" s="8">
        <f t="shared" si="18"/>
        <v>1198</v>
      </c>
      <c r="B1201" s="21" t="s">
        <v>2907</v>
      </c>
      <c r="C1201" s="21" t="s">
        <v>2918</v>
      </c>
      <c r="D1201" s="22" t="s">
        <v>2919</v>
      </c>
      <c r="E1201" s="22" t="s">
        <v>16</v>
      </c>
      <c r="F1201" s="22" t="s">
        <v>30</v>
      </c>
      <c r="G1201" s="23">
        <v>31797</v>
      </c>
      <c r="H1201" s="22" t="s">
        <v>18</v>
      </c>
      <c r="I1201" s="22" t="s">
        <v>19</v>
      </c>
      <c r="J1201" s="22" t="s">
        <v>32</v>
      </c>
      <c r="K1201" s="10" t="str">
        <f ca="1">DATEDIF('DATA PENDUDUK'!$G1201,TODAY(),"Y")&amp; " TAHUN"</f>
        <v>38 TAHUN</v>
      </c>
      <c r="L1201" s="24" t="s">
        <v>2910</v>
      </c>
    </row>
    <row r="1202" spans="1:12" ht="20.100000000000001" customHeight="1" x14ac:dyDescent="0.25">
      <c r="A1202" s="8">
        <f t="shared" si="18"/>
        <v>1199</v>
      </c>
      <c r="B1202" s="21" t="s">
        <v>2907</v>
      </c>
      <c r="C1202" s="21" t="s">
        <v>2920</v>
      </c>
      <c r="D1202" s="22" t="s">
        <v>2921</v>
      </c>
      <c r="E1202" s="22" t="s">
        <v>24</v>
      </c>
      <c r="F1202" s="22" t="s">
        <v>30</v>
      </c>
      <c r="G1202" s="23">
        <v>34166</v>
      </c>
      <c r="H1202" s="22" t="s">
        <v>18</v>
      </c>
      <c r="I1202" s="22" t="s">
        <v>40</v>
      </c>
      <c r="J1202" s="22" t="s">
        <v>32</v>
      </c>
      <c r="K1202" s="10" t="str">
        <f ca="1">DATEDIF('DATA PENDUDUK'!$G1202,TODAY(),"Y")&amp; " TAHUN"</f>
        <v>32 TAHUN</v>
      </c>
      <c r="L1202" s="24" t="s">
        <v>2910</v>
      </c>
    </row>
    <row r="1203" spans="1:12" ht="20.100000000000001" customHeight="1" x14ac:dyDescent="0.25">
      <c r="A1203" s="8">
        <f t="shared" si="18"/>
        <v>1200</v>
      </c>
      <c r="B1203" s="21" t="s">
        <v>2907</v>
      </c>
      <c r="C1203" s="21" t="s">
        <v>2922</v>
      </c>
      <c r="D1203" s="22" t="s">
        <v>2923</v>
      </c>
      <c r="E1203" s="22" t="s">
        <v>16</v>
      </c>
      <c r="F1203" s="22" t="s">
        <v>174</v>
      </c>
      <c r="G1203" s="23">
        <v>41319</v>
      </c>
      <c r="H1203" s="22" t="s">
        <v>18</v>
      </c>
      <c r="I1203" s="22" t="s">
        <v>2728</v>
      </c>
      <c r="J1203" s="22" t="s">
        <v>32</v>
      </c>
      <c r="K1203" s="10" t="str">
        <f ca="1">DATEDIF('DATA PENDUDUK'!$G1203,TODAY(),"Y")&amp; " TAHUN"</f>
        <v>12 TAHUN</v>
      </c>
      <c r="L1203" s="24" t="s">
        <v>2910</v>
      </c>
    </row>
    <row r="1204" spans="1:12" ht="20.100000000000001" customHeight="1" x14ac:dyDescent="0.25">
      <c r="A1204" s="8">
        <f t="shared" si="18"/>
        <v>1201</v>
      </c>
      <c r="B1204" s="21" t="s">
        <v>2907</v>
      </c>
      <c r="C1204" s="21" t="s">
        <v>2924</v>
      </c>
      <c r="D1204" s="22" t="s">
        <v>2925</v>
      </c>
      <c r="E1204" s="22" t="s">
        <v>24</v>
      </c>
      <c r="F1204" s="22" t="s">
        <v>30</v>
      </c>
      <c r="G1204" s="23">
        <v>41778</v>
      </c>
      <c r="H1204" s="22" t="s">
        <v>18</v>
      </c>
      <c r="I1204" s="22" t="s">
        <v>31</v>
      </c>
      <c r="J1204" s="22" t="s">
        <v>32</v>
      </c>
      <c r="K1204" s="10" t="str">
        <f ca="1">DATEDIF('DATA PENDUDUK'!$G1204,TODAY(),"Y")&amp; " TAHUN"</f>
        <v>11 TAHUN</v>
      </c>
      <c r="L1204" s="24" t="s">
        <v>2910</v>
      </c>
    </row>
    <row r="1205" spans="1:12" ht="20.100000000000001" customHeight="1" x14ac:dyDescent="0.25">
      <c r="A1205" s="8">
        <f t="shared" si="18"/>
        <v>1202</v>
      </c>
      <c r="B1205" s="21" t="s">
        <v>2907</v>
      </c>
      <c r="C1205" s="21" t="s">
        <v>2926</v>
      </c>
      <c r="D1205" s="22" t="s">
        <v>2927</v>
      </c>
      <c r="E1205" s="22" t="s">
        <v>16</v>
      </c>
      <c r="F1205" s="22" t="s">
        <v>30</v>
      </c>
      <c r="G1205" s="23">
        <v>43619</v>
      </c>
      <c r="H1205" s="22" t="s">
        <v>438</v>
      </c>
      <c r="I1205" s="22" t="s">
        <v>40</v>
      </c>
      <c r="J1205" s="22" t="s">
        <v>32</v>
      </c>
      <c r="K1205" s="10" t="str">
        <f ca="1">DATEDIF('DATA PENDUDUK'!$G1205,TODAY(),"Y")&amp; " TAHUN"</f>
        <v>6 TAHUN</v>
      </c>
      <c r="L1205" s="24" t="s">
        <v>2910</v>
      </c>
    </row>
    <row r="1206" spans="1:12" ht="20.100000000000001" customHeight="1" x14ac:dyDescent="0.25">
      <c r="A1206" s="8">
        <f t="shared" si="18"/>
        <v>1203</v>
      </c>
      <c r="B1206" s="21" t="s">
        <v>2928</v>
      </c>
      <c r="C1206" s="21" t="s">
        <v>2929</v>
      </c>
      <c r="D1206" s="22" t="s">
        <v>2930</v>
      </c>
      <c r="E1206" s="22" t="s">
        <v>16</v>
      </c>
      <c r="F1206" s="22" t="s">
        <v>366</v>
      </c>
      <c r="G1206" s="23">
        <v>32363</v>
      </c>
      <c r="H1206" s="22" t="s">
        <v>18</v>
      </c>
      <c r="I1206" s="22" t="s">
        <v>2593</v>
      </c>
      <c r="J1206" s="22" t="s">
        <v>20</v>
      </c>
      <c r="K1206" s="10" t="str">
        <f ca="1">DATEDIF('DATA PENDUDUK'!$G1206,TODAY(),"Y")&amp; " TAHUN"</f>
        <v>36 TAHUN</v>
      </c>
      <c r="L1206" s="24" t="s">
        <v>2910</v>
      </c>
    </row>
    <row r="1207" spans="1:12" ht="20.100000000000001" customHeight="1" x14ac:dyDescent="0.25">
      <c r="A1207" s="8">
        <f t="shared" si="18"/>
        <v>1204</v>
      </c>
      <c r="B1207" s="21" t="s">
        <v>2928</v>
      </c>
      <c r="C1207" s="21" t="s">
        <v>2931</v>
      </c>
      <c r="D1207" s="22" t="s">
        <v>2932</v>
      </c>
      <c r="E1207" s="22" t="s">
        <v>24</v>
      </c>
      <c r="F1207" s="22" t="s">
        <v>366</v>
      </c>
      <c r="G1207" s="23">
        <v>41914</v>
      </c>
      <c r="H1207" s="22" t="s">
        <v>18</v>
      </c>
      <c r="I1207" s="22" t="s">
        <v>40</v>
      </c>
      <c r="J1207" s="22" t="s">
        <v>32</v>
      </c>
      <c r="K1207" s="10" t="str">
        <f ca="1">DATEDIF('DATA PENDUDUK'!$G1207,TODAY(),"Y")&amp; " TAHUN"</f>
        <v>10 TAHUN</v>
      </c>
      <c r="L1207" s="24" t="s">
        <v>2910</v>
      </c>
    </row>
    <row r="1208" spans="1:12" ht="20.100000000000001" customHeight="1" x14ac:dyDescent="0.25">
      <c r="A1208" s="8">
        <f t="shared" si="18"/>
        <v>1205</v>
      </c>
      <c r="B1208" s="21" t="s">
        <v>2933</v>
      </c>
      <c r="C1208" s="21" t="s">
        <v>2934</v>
      </c>
      <c r="D1208" s="22" t="s">
        <v>2935</v>
      </c>
      <c r="E1208" s="22" t="s">
        <v>16</v>
      </c>
      <c r="F1208" s="22" t="s">
        <v>2936</v>
      </c>
      <c r="G1208" s="23">
        <v>34200</v>
      </c>
      <c r="H1208" s="22" t="s">
        <v>35</v>
      </c>
      <c r="I1208" s="22" t="s">
        <v>2937</v>
      </c>
      <c r="J1208" s="22" t="s">
        <v>20</v>
      </c>
      <c r="K1208" s="10" t="str">
        <f ca="1">DATEDIF('DATA PENDUDUK'!$G1208,TODAY(),"Y")&amp; " TAHUN"</f>
        <v>31 TAHUN</v>
      </c>
      <c r="L1208" s="24" t="s">
        <v>2910</v>
      </c>
    </row>
    <row r="1209" spans="1:12" ht="20.100000000000001" customHeight="1" x14ac:dyDescent="0.25">
      <c r="A1209" s="8">
        <f t="shared" si="18"/>
        <v>1206</v>
      </c>
      <c r="B1209" s="21" t="s">
        <v>2933</v>
      </c>
      <c r="C1209" s="21" t="s">
        <v>2938</v>
      </c>
      <c r="D1209" s="22" t="s">
        <v>2939</v>
      </c>
      <c r="E1209" s="22" t="s">
        <v>24</v>
      </c>
      <c r="F1209" s="22" t="s">
        <v>2940</v>
      </c>
      <c r="G1209" s="23">
        <v>34507</v>
      </c>
      <c r="H1209" s="22" t="s">
        <v>35</v>
      </c>
      <c r="I1209" s="22" t="s">
        <v>19</v>
      </c>
      <c r="J1209" s="22" t="s">
        <v>27</v>
      </c>
      <c r="K1209" s="10" t="str">
        <f ca="1">DATEDIF('DATA PENDUDUK'!$G1209,TODAY(),"Y")&amp; " TAHUN"</f>
        <v>31 TAHUN</v>
      </c>
      <c r="L1209" s="24" t="s">
        <v>2910</v>
      </c>
    </row>
    <row r="1210" spans="1:12" ht="20.100000000000001" customHeight="1" x14ac:dyDescent="0.25">
      <c r="A1210" s="8">
        <f t="shared" si="18"/>
        <v>1207</v>
      </c>
      <c r="B1210" s="21" t="s">
        <v>2933</v>
      </c>
      <c r="C1210" s="21" t="s">
        <v>2941</v>
      </c>
      <c r="D1210" s="22" t="s">
        <v>2942</v>
      </c>
      <c r="E1210" s="22" t="s">
        <v>16</v>
      </c>
      <c r="F1210" s="22" t="s">
        <v>2943</v>
      </c>
      <c r="G1210" s="23">
        <v>43752</v>
      </c>
      <c r="H1210" s="22" t="s">
        <v>35</v>
      </c>
      <c r="I1210" s="22" t="s">
        <v>40</v>
      </c>
      <c r="J1210" s="22" t="s">
        <v>32</v>
      </c>
      <c r="K1210" s="10" t="str">
        <f ca="1">DATEDIF('DATA PENDUDUK'!$G1210,TODAY(),"Y")&amp; " TAHUN"</f>
        <v>5 TAHUN</v>
      </c>
      <c r="L1210" s="24" t="s">
        <v>2910</v>
      </c>
    </row>
    <row r="1211" spans="1:12" ht="20.100000000000001" customHeight="1" x14ac:dyDescent="0.25">
      <c r="A1211" s="8">
        <f t="shared" si="18"/>
        <v>1208</v>
      </c>
      <c r="B1211" s="21" t="s">
        <v>2933</v>
      </c>
      <c r="C1211" s="21" t="s">
        <v>2944</v>
      </c>
      <c r="D1211" s="22" t="s">
        <v>2945</v>
      </c>
      <c r="E1211" s="22" t="s">
        <v>24</v>
      </c>
      <c r="F1211" s="22" t="s">
        <v>30</v>
      </c>
      <c r="G1211" s="23">
        <v>45136</v>
      </c>
      <c r="H1211" s="22" t="s">
        <v>35</v>
      </c>
      <c r="I1211" s="22" t="s">
        <v>2728</v>
      </c>
      <c r="J1211" s="22" t="s">
        <v>32</v>
      </c>
      <c r="K1211" s="10" t="str">
        <f ca="1">DATEDIF('DATA PENDUDUK'!$G1211,TODAY(),"Y")&amp; " TAHUN"</f>
        <v>1 TAHUN</v>
      </c>
      <c r="L1211" s="24" t="s">
        <v>2910</v>
      </c>
    </row>
    <row r="1212" spans="1:12" ht="20.100000000000001" customHeight="1" x14ac:dyDescent="0.25">
      <c r="A1212" s="8">
        <f t="shared" si="18"/>
        <v>1209</v>
      </c>
      <c r="B1212" s="21" t="s">
        <v>2946</v>
      </c>
      <c r="C1212" s="21" t="s">
        <v>2947</v>
      </c>
      <c r="D1212" s="22" t="s">
        <v>2948</v>
      </c>
      <c r="E1212" s="22" t="s">
        <v>16</v>
      </c>
      <c r="F1212" s="22" t="s">
        <v>2949</v>
      </c>
      <c r="G1212" s="23">
        <v>35273</v>
      </c>
      <c r="H1212" s="22" t="s">
        <v>35</v>
      </c>
      <c r="I1212" s="22" t="s">
        <v>2937</v>
      </c>
      <c r="J1212" s="22" t="s">
        <v>20</v>
      </c>
      <c r="K1212" s="10" t="str">
        <f ca="1">DATEDIF('DATA PENDUDUK'!$G1212,TODAY(),"Y")&amp; " TAHUN"</f>
        <v>28 TAHUN</v>
      </c>
      <c r="L1212" s="24" t="s">
        <v>2910</v>
      </c>
    </row>
    <row r="1213" spans="1:12" ht="20.100000000000001" customHeight="1" x14ac:dyDescent="0.25">
      <c r="A1213" s="8">
        <f t="shared" si="18"/>
        <v>1210</v>
      </c>
      <c r="B1213" s="24" t="s">
        <v>2946</v>
      </c>
      <c r="C1213" s="21" t="s">
        <v>2950</v>
      </c>
      <c r="D1213" s="22" t="s">
        <v>2951</v>
      </c>
      <c r="E1213" s="22" t="s">
        <v>24</v>
      </c>
      <c r="F1213" s="22" t="s">
        <v>46</v>
      </c>
      <c r="G1213" s="23">
        <v>32877</v>
      </c>
      <c r="H1213" s="22" t="s">
        <v>35</v>
      </c>
      <c r="I1213" s="22" t="s">
        <v>1813</v>
      </c>
      <c r="J1213" s="22" t="s">
        <v>37</v>
      </c>
      <c r="K1213" s="10" t="str">
        <f ca="1">DATEDIF('DATA PENDUDUK'!$G1213,TODAY(),"Y")&amp; " TAHUN"</f>
        <v>35 TAHUN</v>
      </c>
      <c r="L1213" s="24" t="s">
        <v>2910</v>
      </c>
    </row>
    <row r="1214" spans="1:12" ht="20.100000000000001" customHeight="1" x14ac:dyDescent="0.25">
      <c r="A1214" s="8">
        <f t="shared" si="18"/>
        <v>1211</v>
      </c>
      <c r="B1214" s="21" t="s">
        <v>2952</v>
      </c>
      <c r="C1214" s="21" t="s">
        <v>2953</v>
      </c>
      <c r="D1214" s="22" t="s">
        <v>2954</v>
      </c>
      <c r="E1214" s="22" t="s">
        <v>16</v>
      </c>
      <c r="F1214" s="22"/>
      <c r="G1214" s="23">
        <v>34471</v>
      </c>
      <c r="H1214" s="22" t="s">
        <v>18</v>
      </c>
      <c r="I1214" s="22" t="s">
        <v>2937</v>
      </c>
      <c r="J1214" s="22" t="s">
        <v>20</v>
      </c>
      <c r="K1214" s="10" t="str">
        <f ca="1">DATEDIF('DATA PENDUDUK'!$G1214,TODAY(),"Y")&amp; " TAHUN"</f>
        <v>31 TAHUN</v>
      </c>
      <c r="L1214" s="24" t="s">
        <v>2910</v>
      </c>
    </row>
    <row r="1215" spans="1:12" ht="20.100000000000001" customHeight="1" x14ac:dyDescent="0.25">
      <c r="A1215" s="8">
        <f t="shared" si="18"/>
        <v>1212</v>
      </c>
      <c r="B1215" s="24" t="s">
        <v>2952</v>
      </c>
      <c r="C1215" s="21" t="s">
        <v>2955</v>
      </c>
      <c r="D1215" s="22" t="s">
        <v>2956</v>
      </c>
      <c r="E1215" s="22" t="s">
        <v>24</v>
      </c>
      <c r="F1215" s="22" t="s">
        <v>30</v>
      </c>
      <c r="G1215" s="23">
        <v>35654</v>
      </c>
      <c r="H1215" s="22" t="s">
        <v>18</v>
      </c>
      <c r="I1215" s="22" t="s">
        <v>40</v>
      </c>
      <c r="J1215" s="22" t="s">
        <v>27</v>
      </c>
      <c r="K1215" s="10" t="str">
        <f ca="1">DATEDIF('DATA PENDUDUK'!$G1215,TODAY(),"Y")&amp; " TAHUN"</f>
        <v>27 TAHUN</v>
      </c>
      <c r="L1215" s="24" t="s">
        <v>2910</v>
      </c>
    </row>
    <row r="1216" spans="1:12" ht="20.100000000000001" customHeight="1" x14ac:dyDescent="0.25">
      <c r="A1216" s="8">
        <f t="shared" si="18"/>
        <v>1213</v>
      </c>
      <c r="B1216" s="24" t="s">
        <v>2952</v>
      </c>
      <c r="C1216" s="21" t="s">
        <v>2957</v>
      </c>
      <c r="D1216" s="22" t="s">
        <v>2958</v>
      </c>
      <c r="E1216" s="22" t="s">
        <v>16</v>
      </c>
      <c r="F1216" s="22" t="s">
        <v>30</v>
      </c>
      <c r="G1216" s="23">
        <v>45186</v>
      </c>
      <c r="H1216" s="22" t="s">
        <v>18</v>
      </c>
      <c r="I1216" s="22" t="s">
        <v>40</v>
      </c>
      <c r="J1216" s="22" t="s">
        <v>32</v>
      </c>
      <c r="K1216" s="10" t="str">
        <f ca="1">DATEDIF('DATA PENDUDUK'!$G1216,TODAY(),"Y")&amp; " TAHUN"</f>
        <v>1 TAHUN</v>
      </c>
      <c r="L1216" s="24" t="s">
        <v>2910</v>
      </c>
    </row>
    <row r="1217" spans="1:12" ht="20.100000000000001" customHeight="1" x14ac:dyDescent="0.25">
      <c r="A1217" s="8">
        <f t="shared" si="18"/>
        <v>1214</v>
      </c>
      <c r="B1217" s="21" t="s">
        <v>2959</v>
      </c>
      <c r="C1217" s="21" t="s">
        <v>2960</v>
      </c>
      <c r="D1217" s="22" t="s">
        <v>2961</v>
      </c>
      <c r="E1217" s="22" t="s">
        <v>16</v>
      </c>
      <c r="F1217" s="22" t="s">
        <v>518</v>
      </c>
      <c r="G1217" s="23">
        <v>32906</v>
      </c>
      <c r="H1217" s="22" t="s">
        <v>35</v>
      </c>
      <c r="I1217" s="22" t="s">
        <v>2937</v>
      </c>
      <c r="J1217" s="22" t="s">
        <v>20</v>
      </c>
      <c r="K1217" s="10" t="str">
        <f ca="1">DATEDIF('DATA PENDUDUK'!$G1217,TODAY(),"Y")&amp; " TAHUN"</f>
        <v>35 TAHUN</v>
      </c>
      <c r="L1217" s="24" t="s">
        <v>2910</v>
      </c>
    </row>
    <row r="1218" spans="1:12" ht="20.100000000000001" customHeight="1" x14ac:dyDescent="0.25">
      <c r="A1218" s="8">
        <f t="shared" si="18"/>
        <v>1215</v>
      </c>
      <c r="B1218" s="24" t="s">
        <v>2959</v>
      </c>
      <c r="C1218" s="21" t="s">
        <v>2962</v>
      </c>
      <c r="D1218" s="22" t="s">
        <v>2963</v>
      </c>
      <c r="E1218" s="22" t="s">
        <v>24</v>
      </c>
      <c r="F1218" s="22" t="s">
        <v>2964</v>
      </c>
      <c r="G1218" s="23">
        <v>32795</v>
      </c>
      <c r="H1218" s="22" t="s">
        <v>35</v>
      </c>
      <c r="I1218" s="22" t="s">
        <v>2598</v>
      </c>
      <c r="J1218" s="22" t="s">
        <v>27</v>
      </c>
      <c r="K1218" s="10" t="str">
        <f ca="1">DATEDIF('DATA PENDUDUK'!$G1218,TODAY(),"Y")&amp; " TAHUN"</f>
        <v>35 TAHUN</v>
      </c>
      <c r="L1218" s="24" t="s">
        <v>2910</v>
      </c>
    </row>
    <row r="1219" spans="1:12" ht="20.100000000000001" customHeight="1" x14ac:dyDescent="0.25">
      <c r="A1219" s="8">
        <f t="shared" si="18"/>
        <v>1216</v>
      </c>
      <c r="B1219" s="24" t="s">
        <v>2959</v>
      </c>
      <c r="C1219" s="21" t="s">
        <v>2965</v>
      </c>
      <c r="D1219" s="22" t="s">
        <v>2966</v>
      </c>
      <c r="E1219" s="22" t="s">
        <v>24</v>
      </c>
      <c r="F1219" s="22" t="s">
        <v>30</v>
      </c>
      <c r="G1219" s="23">
        <v>41305</v>
      </c>
      <c r="H1219" s="22" t="s">
        <v>35</v>
      </c>
      <c r="I1219" s="22" t="s">
        <v>31</v>
      </c>
      <c r="J1219" s="22" t="s">
        <v>32</v>
      </c>
      <c r="K1219" s="10" t="str">
        <f ca="1">DATEDIF('DATA PENDUDUK'!$G1219,TODAY(),"Y")&amp; " TAHUN"</f>
        <v>12 TAHUN</v>
      </c>
      <c r="L1219" s="24" t="s">
        <v>2910</v>
      </c>
    </row>
    <row r="1220" spans="1:12" ht="20.100000000000001" customHeight="1" x14ac:dyDescent="0.25">
      <c r="A1220" s="8">
        <f t="shared" si="18"/>
        <v>1217</v>
      </c>
      <c r="B1220" s="24" t="s">
        <v>2959</v>
      </c>
      <c r="C1220" s="21" t="s">
        <v>2967</v>
      </c>
      <c r="D1220" s="22" t="s">
        <v>2968</v>
      </c>
      <c r="E1220" s="22" t="s">
        <v>24</v>
      </c>
      <c r="F1220" s="22" t="s">
        <v>2969</v>
      </c>
      <c r="G1220" s="23">
        <v>43037</v>
      </c>
      <c r="H1220" s="22" t="s">
        <v>35</v>
      </c>
      <c r="I1220" s="22" t="s">
        <v>40</v>
      </c>
      <c r="J1220" s="22" t="s">
        <v>32</v>
      </c>
      <c r="K1220" s="10" t="str">
        <f ca="1">DATEDIF('DATA PENDUDUK'!$G1220,TODAY(),"Y")&amp; " TAHUN"</f>
        <v>7 TAHUN</v>
      </c>
      <c r="L1220" s="24" t="s">
        <v>2910</v>
      </c>
    </row>
    <row r="1221" spans="1:12" ht="20.100000000000001" customHeight="1" x14ac:dyDescent="0.25">
      <c r="A1221" s="8">
        <f t="shared" si="18"/>
        <v>1218</v>
      </c>
      <c r="B1221" s="21" t="s">
        <v>2970</v>
      </c>
      <c r="C1221" s="21" t="s">
        <v>2971</v>
      </c>
      <c r="D1221" s="22" t="s">
        <v>2972</v>
      </c>
      <c r="E1221" s="22" t="s">
        <v>16</v>
      </c>
      <c r="F1221" s="22" t="s">
        <v>2973</v>
      </c>
      <c r="G1221" s="23">
        <v>35185</v>
      </c>
      <c r="H1221" s="22" t="s">
        <v>35</v>
      </c>
      <c r="I1221" s="22" t="s">
        <v>2937</v>
      </c>
      <c r="J1221" s="22" t="s">
        <v>20</v>
      </c>
      <c r="K1221" s="10" t="str">
        <f ca="1">DATEDIF('DATA PENDUDUK'!$G1221,TODAY(),"Y")&amp; " TAHUN"</f>
        <v>29 TAHUN</v>
      </c>
      <c r="L1221" s="24" t="s">
        <v>2910</v>
      </c>
    </row>
    <row r="1222" spans="1:12" ht="20.100000000000001" customHeight="1" x14ac:dyDescent="0.25">
      <c r="A1222" s="8">
        <f t="shared" ref="A1222:A1285" si="19">IF(D1222="","",ROW()-3)</f>
        <v>1219</v>
      </c>
      <c r="B1222" s="24" t="s">
        <v>2970</v>
      </c>
      <c r="C1222" s="21" t="s">
        <v>2974</v>
      </c>
      <c r="D1222" s="22" t="s">
        <v>2975</v>
      </c>
      <c r="E1222" s="22" t="s">
        <v>24</v>
      </c>
      <c r="F1222" s="22" t="s">
        <v>46</v>
      </c>
      <c r="G1222" s="23">
        <v>34778</v>
      </c>
      <c r="H1222" s="22" t="s">
        <v>35</v>
      </c>
      <c r="I1222" s="22" t="s">
        <v>40</v>
      </c>
      <c r="J1222" s="22" t="s">
        <v>27</v>
      </c>
      <c r="K1222" s="10" t="str">
        <f ca="1">DATEDIF('DATA PENDUDUK'!$G1222,TODAY(),"Y")&amp; " TAHUN"</f>
        <v>30 TAHUN</v>
      </c>
      <c r="L1222" s="24" t="s">
        <v>2910</v>
      </c>
    </row>
    <row r="1223" spans="1:12" ht="20.100000000000001" customHeight="1" x14ac:dyDescent="0.25">
      <c r="A1223" s="8">
        <f t="shared" si="19"/>
        <v>1220</v>
      </c>
      <c r="B1223" s="21" t="s">
        <v>2976</v>
      </c>
      <c r="C1223" s="21" t="s">
        <v>2977</v>
      </c>
      <c r="D1223" s="22" t="s">
        <v>2978</v>
      </c>
      <c r="E1223" s="22" t="s">
        <v>16</v>
      </c>
      <c r="F1223" s="22" t="s">
        <v>2979</v>
      </c>
      <c r="G1223" s="23">
        <v>33954</v>
      </c>
      <c r="H1223" s="22" t="s">
        <v>35</v>
      </c>
      <c r="I1223" s="22" t="s">
        <v>2937</v>
      </c>
      <c r="J1223" s="22" t="s">
        <v>20</v>
      </c>
      <c r="K1223" s="10" t="str">
        <f ca="1">DATEDIF('DATA PENDUDUK'!$G1223,TODAY(),"Y")&amp; " TAHUN"</f>
        <v>32 TAHUN</v>
      </c>
      <c r="L1223" s="24" t="s">
        <v>2910</v>
      </c>
    </row>
    <row r="1224" spans="1:12" ht="20.100000000000001" customHeight="1" x14ac:dyDescent="0.25">
      <c r="A1224" s="8">
        <f t="shared" si="19"/>
        <v>1221</v>
      </c>
      <c r="B1224" s="24" t="s">
        <v>2976</v>
      </c>
      <c r="C1224" s="21" t="s">
        <v>2980</v>
      </c>
      <c r="D1224" s="22" t="s">
        <v>2981</v>
      </c>
      <c r="E1224" s="22" t="s">
        <v>24</v>
      </c>
      <c r="F1224" s="22" t="s">
        <v>2982</v>
      </c>
      <c r="G1224" s="23">
        <v>36877</v>
      </c>
      <c r="H1224" s="22" t="s">
        <v>35</v>
      </c>
      <c r="I1224" s="22" t="s">
        <v>2598</v>
      </c>
      <c r="J1224" s="22" t="s">
        <v>27</v>
      </c>
      <c r="K1224" s="10" t="str">
        <f ca="1">DATEDIF('DATA PENDUDUK'!$G1224,TODAY(),"Y")&amp; " TAHUN"</f>
        <v>24 TAHUN</v>
      </c>
      <c r="L1224" s="24" t="s">
        <v>2910</v>
      </c>
    </row>
    <row r="1225" spans="1:12" ht="20.100000000000001" customHeight="1" x14ac:dyDescent="0.25">
      <c r="A1225" s="8">
        <f t="shared" si="19"/>
        <v>1222</v>
      </c>
      <c r="B1225" s="24" t="s">
        <v>2976</v>
      </c>
      <c r="C1225" s="21" t="s">
        <v>2983</v>
      </c>
      <c r="D1225" s="22" t="s">
        <v>2984</v>
      </c>
      <c r="E1225" s="22" t="s">
        <v>16</v>
      </c>
      <c r="F1225" s="22" t="s">
        <v>30</v>
      </c>
      <c r="G1225" s="23">
        <v>44649</v>
      </c>
      <c r="H1225" s="22" t="s">
        <v>35</v>
      </c>
      <c r="I1225" s="22" t="s">
        <v>40</v>
      </c>
      <c r="J1225" s="22" t="s">
        <v>32</v>
      </c>
      <c r="K1225" s="10" t="str">
        <f ca="1">DATEDIF('DATA PENDUDUK'!$G1225,TODAY(),"Y")&amp; " TAHUN"</f>
        <v>3 TAHUN</v>
      </c>
      <c r="L1225" s="24" t="s">
        <v>2910</v>
      </c>
    </row>
    <row r="1226" spans="1:12" ht="20.100000000000001" customHeight="1" x14ac:dyDescent="0.25">
      <c r="A1226" s="8">
        <f t="shared" si="19"/>
        <v>1223</v>
      </c>
      <c r="B1226" s="24" t="s">
        <v>2976</v>
      </c>
      <c r="C1226" s="21" t="s">
        <v>2985</v>
      </c>
      <c r="D1226" s="22" t="s">
        <v>2986</v>
      </c>
      <c r="E1226" s="22" t="s">
        <v>24</v>
      </c>
      <c r="F1226" s="22" t="s">
        <v>30</v>
      </c>
      <c r="G1226" s="23">
        <v>45112</v>
      </c>
      <c r="H1226" s="22" t="s">
        <v>35</v>
      </c>
      <c r="I1226" s="22" t="s">
        <v>40</v>
      </c>
      <c r="J1226" s="22" t="s">
        <v>32</v>
      </c>
      <c r="K1226" s="10" t="str">
        <f ca="1">DATEDIF('DATA PENDUDUK'!$G1226,TODAY(),"Y")&amp; " TAHUN"</f>
        <v>2 TAHUN</v>
      </c>
      <c r="L1226" s="24" t="s">
        <v>2910</v>
      </c>
    </row>
    <row r="1227" spans="1:12" ht="20.100000000000001" customHeight="1" x14ac:dyDescent="0.25">
      <c r="A1227" s="8">
        <f t="shared" si="19"/>
        <v>1224</v>
      </c>
      <c r="B1227" s="21" t="s">
        <v>2987</v>
      </c>
      <c r="C1227" s="21" t="s">
        <v>2988</v>
      </c>
      <c r="D1227" s="22" t="s">
        <v>2989</v>
      </c>
      <c r="E1227" s="22" t="s">
        <v>16</v>
      </c>
      <c r="F1227" s="22" t="s">
        <v>2990</v>
      </c>
      <c r="G1227" s="23">
        <v>33410</v>
      </c>
      <c r="H1227" s="22" t="s">
        <v>35</v>
      </c>
      <c r="I1227" s="22" t="s">
        <v>2991</v>
      </c>
      <c r="J1227" s="22" t="s">
        <v>20</v>
      </c>
      <c r="K1227" s="10" t="str">
        <f ca="1">DATEDIF('DATA PENDUDUK'!$G1227,TODAY(),"Y")&amp; " TAHUN"</f>
        <v>34 TAHUN</v>
      </c>
      <c r="L1227" s="24" t="s">
        <v>2910</v>
      </c>
    </row>
    <row r="1228" spans="1:12" ht="20.100000000000001" customHeight="1" x14ac:dyDescent="0.25">
      <c r="A1228" s="8">
        <f t="shared" si="19"/>
        <v>1225</v>
      </c>
      <c r="B1228" s="24" t="s">
        <v>2987</v>
      </c>
      <c r="C1228" s="21" t="s">
        <v>2992</v>
      </c>
      <c r="D1228" s="22" t="s">
        <v>2993</v>
      </c>
      <c r="E1228" s="22" t="s">
        <v>24</v>
      </c>
      <c r="F1228" s="22" t="s">
        <v>2994</v>
      </c>
      <c r="G1228" s="23">
        <v>35547</v>
      </c>
      <c r="H1228" s="22" t="s">
        <v>35</v>
      </c>
      <c r="I1228" s="22" t="s">
        <v>2598</v>
      </c>
      <c r="J1228" s="22" t="s">
        <v>27</v>
      </c>
      <c r="K1228" s="10" t="str">
        <f ca="1">DATEDIF('DATA PENDUDUK'!$G1228,TODAY(),"Y")&amp; " TAHUN"</f>
        <v>28 TAHUN</v>
      </c>
      <c r="L1228" s="24" t="s">
        <v>2910</v>
      </c>
    </row>
    <row r="1229" spans="1:12" ht="20.100000000000001" customHeight="1" x14ac:dyDescent="0.25">
      <c r="A1229" s="8">
        <f t="shared" si="19"/>
        <v>1226</v>
      </c>
      <c r="B1229" s="24" t="s">
        <v>2987</v>
      </c>
      <c r="C1229" s="21" t="s">
        <v>2995</v>
      </c>
      <c r="D1229" s="22" t="s">
        <v>2996</v>
      </c>
      <c r="E1229" s="22" t="s">
        <v>24</v>
      </c>
      <c r="F1229" s="22" t="s">
        <v>30</v>
      </c>
      <c r="G1229" s="23">
        <v>44917</v>
      </c>
      <c r="H1229" s="22" t="s">
        <v>35</v>
      </c>
      <c r="I1229" s="22" t="s">
        <v>40</v>
      </c>
      <c r="J1229" s="22" t="s">
        <v>32</v>
      </c>
      <c r="K1229" s="10" t="str">
        <f ca="1">DATEDIF('DATA PENDUDUK'!$G1229,TODAY(),"Y")&amp; " TAHUN"</f>
        <v>2 TAHUN</v>
      </c>
      <c r="L1229" s="24" t="s">
        <v>2910</v>
      </c>
    </row>
    <row r="1230" spans="1:12" ht="20.100000000000001" customHeight="1" x14ac:dyDescent="0.25">
      <c r="A1230" s="8">
        <f t="shared" si="19"/>
        <v>1227</v>
      </c>
      <c r="B1230" s="24" t="s">
        <v>2987</v>
      </c>
      <c r="C1230" s="21" t="s">
        <v>2997</v>
      </c>
      <c r="D1230" s="22" t="s">
        <v>2998</v>
      </c>
      <c r="E1230" s="22" t="s">
        <v>16</v>
      </c>
      <c r="F1230" s="22" t="s">
        <v>2994</v>
      </c>
      <c r="G1230" s="23">
        <v>38506</v>
      </c>
      <c r="H1230" s="22" t="s">
        <v>35</v>
      </c>
      <c r="I1230" s="22" t="s">
        <v>2999</v>
      </c>
      <c r="J1230" s="22" t="s">
        <v>37</v>
      </c>
      <c r="K1230" s="10" t="str">
        <f ca="1">DATEDIF('DATA PENDUDUK'!$G1230,TODAY(),"Y")&amp; " TAHUN"</f>
        <v>20 TAHUN</v>
      </c>
      <c r="L1230" s="24" t="s">
        <v>2910</v>
      </c>
    </row>
    <row r="1231" spans="1:12" ht="20.100000000000001" customHeight="1" x14ac:dyDescent="0.25">
      <c r="A1231" s="8">
        <f t="shared" si="19"/>
        <v>1228</v>
      </c>
      <c r="B1231" s="21" t="s">
        <v>3000</v>
      </c>
      <c r="C1231" s="21" t="s">
        <v>3001</v>
      </c>
      <c r="D1231" s="22" t="s">
        <v>3002</v>
      </c>
      <c r="E1231" s="22" t="s">
        <v>16</v>
      </c>
      <c r="F1231" s="22" t="s">
        <v>3003</v>
      </c>
      <c r="G1231" s="23">
        <v>25179</v>
      </c>
      <c r="H1231" s="22" t="s">
        <v>35</v>
      </c>
      <c r="I1231" s="22" t="s">
        <v>2937</v>
      </c>
      <c r="J1231" s="22" t="s">
        <v>20</v>
      </c>
      <c r="K1231" s="10" t="str">
        <f ca="1">DATEDIF('DATA PENDUDUK'!$G1231,TODAY(),"Y")&amp; " TAHUN"</f>
        <v>56 TAHUN</v>
      </c>
      <c r="L1231" s="24" t="s">
        <v>2910</v>
      </c>
    </row>
    <row r="1232" spans="1:12" ht="20.100000000000001" customHeight="1" x14ac:dyDescent="0.25">
      <c r="A1232" s="8">
        <f t="shared" si="19"/>
        <v>1229</v>
      </c>
      <c r="B1232" s="24" t="s">
        <v>3000</v>
      </c>
      <c r="C1232" s="21" t="s">
        <v>3004</v>
      </c>
      <c r="D1232" s="22" t="s">
        <v>3005</v>
      </c>
      <c r="E1232" s="22" t="s">
        <v>24</v>
      </c>
      <c r="F1232" s="22" t="s">
        <v>174</v>
      </c>
      <c r="G1232" s="23">
        <v>33956</v>
      </c>
      <c r="H1232" s="22" t="s">
        <v>35</v>
      </c>
      <c r="I1232" s="22" t="s">
        <v>3006</v>
      </c>
      <c r="J1232" s="22" t="s">
        <v>27</v>
      </c>
      <c r="K1232" s="10" t="str">
        <f ca="1">DATEDIF('DATA PENDUDUK'!$G1232,TODAY(),"Y")&amp; " TAHUN"</f>
        <v>32 TAHUN</v>
      </c>
      <c r="L1232" s="24" t="s">
        <v>2910</v>
      </c>
    </row>
    <row r="1233" spans="1:12" ht="20.100000000000001" customHeight="1" x14ac:dyDescent="0.25">
      <c r="A1233" s="8">
        <f t="shared" si="19"/>
        <v>1230</v>
      </c>
      <c r="B1233" s="24" t="s">
        <v>3000</v>
      </c>
      <c r="C1233" s="21" t="s">
        <v>3007</v>
      </c>
      <c r="D1233" s="22" t="s">
        <v>3008</v>
      </c>
      <c r="E1233" s="22" t="s">
        <v>16</v>
      </c>
      <c r="F1233" s="22" t="s">
        <v>174</v>
      </c>
      <c r="G1233" s="23">
        <v>41956</v>
      </c>
      <c r="H1233" s="22" t="s">
        <v>35</v>
      </c>
      <c r="I1233" s="22" t="s">
        <v>40</v>
      </c>
      <c r="J1233" s="22" t="s">
        <v>32</v>
      </c>
      <c r="K1233" s="10" t="str">
        <f ca="1">DATEDIF('DATA PENDUDUK'!$G1233,TODAY(),"Y")&amp; " TAHUN"</f>
        <v>10 TAHUN</v>
      </c>
      <c r="L1233" s="24" t="s">
        <v>2910</v>
      </c>
    </row>
    <row r="1234" spans="1:12" ht="20.100000000000001" customHeight="1" x14ac:dyDescent="0.25">
      <c r="A1234" s="8">
        <f t="shared" si="19"/>
        <v>1231</v>
      </c>
      <c r="B1234" s="24" t="s">
        <v>3000</v>
      </c>
      <c r="C1234" s="21" t="s">
        <v>3009</v>
      </c>
      <c r="D1234" s="22" t="s">
        <v>3010</v>
      </c>
      <c r="E1234" s="22" t="s">
        <v>16</v>
      </c>
      <c r="F1234" s="22" t="s">
        <v>174</v>
      </c>
      <c r="G1234" s="23">
        <v>44884</v>
      </c>
      <c r="H1234" s="22" t="s">
        <v>35</v>
      </c>
      <c r="I1234" s="22" t="s">
        <v>40</v>
      </c>
      <c r="J1234" s="22" t="s">
        <v>32</v>
      </c>
      <c r="K1234" s="10" t="str">
        <f ca="1">DATEDIF('DATA PENDUDUK'!$G1234,TODAY(),"Y")&amp; " TAHUN"</f>
        <v>2 TAHUN</v>
      </c>
      <c r="L1234" s="24" t="s">
        <v>2910</v>
      </c>
    </row>
    <row r="1235" spans="1:12" ht="20.100000000000001" customHeight="1" x14ac:dyDescent="0.25">
      <c r="A1235" s="8">
        <f t="shared" si="19"/>
        <v>1232</v>
      </c>
      <c r="B1235" s="21" t="s">
        <v>3011</v>
      </c>
      <c r="C1235" s="21" t="s">
        <v>3012</v>
      </c>
      <c r="D1235" s="22" t="s">
        <v>3013</v>
      </c>
      <c r="E1235" s="22" t="s">
        <v>16</v>
      </c>
      <c r="F1235" s="22" t="s">
        <v>3014</v>
      </c>
      <c r="G1235" s="23">
        <v>33693</v>
      </c>
      <c r="H1235" s="22" t="s">
        <v>35</v>
      </c>
      <c r="I1235" s="22" t="s">
        <v>2937</v>
      </c>
      <c r="J1235" s="22" t="s">
        <v>20</v>
      </c>
      <c r="K1235" s="10" t="str">
        <f ca="1">DATEDIF('DATA PENDUDUK'!$G1235,TODAY(),"Y")&amp; " TAHUN"</f>
        <v>33 TAHUN</v>
      </c>
      <c r="L1235" s="24" t="s">
        <v>2910</v>
      </c>
    </row>
    <row r="1236" spans="1:12" ht="20.100000000000001" customHeight="1" x14ac:dyDescent="0.25">
      <c r="A1236" s="8">
        <f t="shared" si="19"/>
        <v>1233</v>
      </c>
      <c r="B1236" s="21" t="s">
        <v>3011</v>
      </c>
      <c r="C1236" s="21" t="s">
        <v>3015</v>
      </c>
      <c r="D1236" s="22" t="s">
        <v>3016</v>
      </c>
      <c r="E1236" s="22" t="s">
        <v>24</v>
      </c>
      <c r="F1236" s="22"/>
      <c r="G1236" s="23">
        <v>30166</v>
      </c>
      <c r="H1236" s="22" t="s">
        <v>35</v>
      </c>
      <c r="I1236" s="22" t="s">
        <v>2598</v>
      </c>
      <c r="J1236" s="22" t="s">
        <v>27</v>
      </c>
      <c r="K1236" s="10" t="str">
        <f ca="1">DATEDIF('DATA PENDUDUK'!$G1236,TODAY(),"Y")&amp; " TAHUN"</f>
        <v>42 TAHUN</v>
      </c>
      <c r="L1236" s="24" t="s">
        <v>2910</v>
      </c>
    </row>
    <row r="1237" spans="1:12" ht="20.100000000000001" customHeight="1" x14ac:dyDescent="0.25">
      <c r="A1237" s="8">
        <f t="shared" si="19"/>
        <v>1234</v>
      </c>
      <c r="B1237" s="24" t="s">
        <v>3011</v>
      </c>
      <c r="C1237" s="21" t="s">
        <v>3017</v>
      </c>
      <c r="D1237" s="22" t="s">
        <v>3018</v>
      </c>
      <c r="E1237" s="22" t="s">
        <v>16</v>
      </c>
      <c r="F1237" s="22"/>
      <c r="G1237" s="23">
        <v>38039</v>
      </c>
      <c r="H1237" s="22" t="s">
        <v>35</v>
      </c>
      <c r="I1237" s="22" t="s">
        <v>40</v>
      </c>
      <c r="J1237" s="22" t="s">
        <v>37</v>
      </c>
      <c r="K1237" s="10" t="str">
        <f ca="1">DATEDIF('DATA PENDUDUK'!$G1237,TODAY(),"Y")&amp; " TAHUN"</f>
        <v>21 TAHUN</v>
      </c>
      <c r="L1237" s="24" t="s">
        <v>2910</v>
      </c>
    </row>
    <row r="1238" spans="1:12" ht="20.100000000000001" customHeight="1" x14ac:dyDescent="0.25">
      <c r="A1238" s="8">
        <f t="shared" si="19"/>
        <v>1235</v>
      </c>
      <c r="B1238" s="21" t="s">
        <v>3019</v>
      </c>
      <c r="C1238" s="21" t="s">
        <v>3020</v>
      </c>
      <c r="D1238" s="22" t="s">
        <v>3021</v>
      </c>
      <c r="E1238" s="22" t="s">
        <v>16</v>
      </c>
      <c r="F1238" s="22" t="s">
        <v>3022</v>
      </c>
      <c r="G1238" s="23">
        <v>32199</v>
      </c>
      <c r="H1238" s="22" t="s">
        <v>18</v>
      </c>
      <c r="I1238" s="22" t="s">
        <v>2937</v>
      </c>
      <c r="J1238" s="22" t="s">
        <v>20</v>
      </c>
      <c r="K1238" s="10" t="str">
        <f ca="1">DATEDIF('DATA PENDUDUK'!$G1238,TODAY(),"Y")&amp; " TAHUN"</f>
        <v>37 TAHUN</v>
      </c>
      <c r="L1238" s="24" t="s">
        <v>2910</v>
      </c>
    </row>
    <row r="1239" spans="1:12" ht="20.100000000000001" customHeight="1" x14ac:dyDescent="0.25">
      <c r="A1239" s="8">
        <f t="shared" si="19"/>
        <v>1236</v>
      </c>
      <c r="B1239" s="24" t="s">
        <v>3019</v>
      </c>
      <c r="C1239" s="21" t="s">
        <v>3023</v>
      </c>
      <c r="D1239" s="22" t="s">
        <v>3024</v>
      </c>
      <c r="E1239" s="22" t="s">
        <v>24</v>
      </c>
      <c r="F1239" s="22" t="s">
        <v>3025</v>
      </c>
      <c r="G1239" s="23">
        <v>31097</v>
      </c>
      <c r="H1239" s="22" t="s">
        <v>18</v>
      </c>
      <c r="I1239" s="22" t="s">
        <v>3026</v>
      </c>
      <c r="J1239" s="22" t="s">
        <v>27</v>
      </c>
      <c r="K1239" s="10" t="str">
        <f ca="1">DATEDIF('DATA PENDUDUK'!$G1239,TODAY(),"Y")&amp; " TAHUN"</f>
        <v>40 TAHUN</v>
      </c>
      <c r="L1239" s="24" t="s">
        <v>2910</v>
      </c>
    </row>
    <row r="1240" spans="1:12" ht="20.100000000000001" customHeight="1" x14ac:dyDescent="0.25">
      <c r="A1240" s="8">
        <f t="shared" si="19"/>
        <v>1237</v>
      </c>
      <c r="B1240" s="24" t="s">
        <v>3019</v>
      </c>
      <c r="C1240" s="21" t="s">
        <v>3027</v>
      </c>
      <c r="D1240" s="22" t="s">
        <v>3028</v>
      </c>
      <c r="E1240" s="22" t="s">
        <v>24</v>
      </c>
      <c r="F1240" s="22" t="s">
        <v>3022</v>
      </c>
      <c r="G1240" s="23">
        <v>41486</v>
      </c>
      <c r="H1240" s="22" t="s">
        <v>18</v>
      </c>
      <c r="I1240" s="22" t="s">
        <v>40</v>
      </c>
      <c r="J1240" s="22" t="s">
        <v>32</v>
      </c>
      <c r="K1240" s="10" t="str">
        <f ca="1">DATEDIF('DATA PENDUDUK'!$G1240,TODAY(),"Y")&amp; " TAHUN"</f>
        <v>11 TAHUN</v>
      </c>
      <c r="L1240" s="24" t="s">
        <v>2910</v>
      </c>
    </row>
    <row r="1241" spans="1:12" ht="20.100000000000001" customHeight="1" x14ac:dyDescent="0.25">
      <c r="A1241" s="8">
        <f t="shared" si="19"/>
        <v>1238</v>
      </c>
      <c r="B1241" s="24" t="s">
        <v>3019</v>
      </c>
      <c r="C1241" s="21" t="s">
        <v>3029</v>
      </c>
      <c r="D1241" s="22" t="s">
        <v>3030</v>
      </c>
      <c r="E1241" s="22" t="s">
        <v>16</v>
      </c>
      <c r="F1241" s="22" t="s">
        <v>30</v>
      </c>
      <c r="G1241" s="23">
        <v>42754</v>
      </c>
      <c r="H1241" s="22" t="s">
        <v>18</v>
      </c>
      <c r="I1241" s="22" t="s">
        <v>2728</v>
      </c>
      <c r="J1241" s="22" t="s">
        <v>32</v>
      </c>
      <c r="K1241" s="10" t="str">
        <f ca="1">DATEDIF('DATA PENDUDUK'!$G1241,TODAY(),"Y")&amp; " TAHUN"</f>
        <v>8 TAHUN</v>
      </c>
      <c r="L1241" s="24" t="s">
        <v>2910</v>
      </c>
    </row>
    <row r="1242" spans="1:12" ht="20.100000000000001" customHeight="1" x14ac:dyDescent="0.25">
      <c r="A1242" s="8">
        <f t="shared" si="19"/>
        <v>1239</v>
      </c>
      <c r="B1242" s="24" t="s">
        <v>3019</v>
      </c>
      <c r="C1242" s="21" t="s">
        <v>3031</v>
      </c>
      <c r="D1242" s="22" t="s">
        <v>3032</v>
      </c>
      <c r="E1242" s="22" t="s">
        <v>16</v>
      </c>
      <c r="F1242" s="22" t="s">
        <v>3022</v>
      </c>
      <c r="G1242" s="23">
        <v>45065</v>
      </c>
      <c r="H1242" s="22" t="s">
        <v>18</v>
      </c>
      <c r="I1242" s="22" t="s">
        <v>2728</v>
      </c>
      <c r="J1242" s="22" t="s">
        <v>32</v>
      </c>
      <c r="K1242" s="10" t="str">
        <f ca="1">DATEDIF('DATA PENDUDUK'!$G1242,TODAY(),"Y")&amp; " TAHUN"</f>
        <v>2 TAHUN</v>
      </c>
      <c r="L1242" s="24" t="s">
        <v>2910</v>
      </c>
    </row>
    <row r="1243" spans="1:12" ht="20.100000000000001" customHeight="1" x14ac:dyDescent="0.25">
      <c r="A1243" s="8">
        <f t="shared" si="19"/>
        <v>1240</v>
      </c>
      <c r="B1243" s="21" t="s">
        <v>3033</v>
      </c>
      <c r="C1243" s="21" t="s">
        <v>3034</v>
      </c>
      <c r="D1243" s="22" t="s">
        <v>3035</v>
      </c>
      <c r="E1243" s="22" t="s">
        <v>16</v>
      </c>
      <c r="F1243" s="22" t="s">
        <v>3036</v>
      </c>
      <c r="G1243" s="23">
        <v>35074</v>
      </c>
      <c r="H1243" s="22" t="s">
        <v>438</v>
      </c>
      <c r="I1243" s="22" t="s">
        <v>2937</v>
      </c>
      <c r="J1243" s="22" t="s">
        <v>20</v>
      </c>
      <c r="K1243" s="10" t="str">
        <f ca="1">DATEDIF('DATA PENDUDUK'!$G1243,TODAY(),"Y")&amp; " TAHUN"</f>
        <v>29 TAHUN</v>
      </c>
      <c r="L1243" s="24" t="s">
        <v>2910</v>
      </c>
    </row>
    <row r="1244" spans="1:12" ht="20.100000000000001" customHeight="1" x14ac:dyDescent="0.25">
      <c r="A1244" s="8">
        <f t="shared" si="19"/>
        <v>1241</v>
      </c>
      <c r="B1244" s="24" t="s">
        <v>3033</v>
      </c>
      <c r="C1244" s="21" t="s">
        <v>3037</v>
      </c>
      <c r="D1244" s="22" t="s">
        <v>3038</v>
      </c>
      <c r="E1244" s="22" t="s">
        <v>24</v>
      </c>
      <c r="F1244" s="22"/>
      <c r="G1244" s="23">
        <v>34846</v>
      </c>
      <c r="H1244" s="22" t="s">
        <v>438</v>
      </c>
      <c r="I1244" s="22" t="s">
        <v>1795</v>
      </c>
      <c r="J1244" s="22" t="s">
        <v>27</v>
      </c>
      <c r="K1244" s="10" t="str">
        <f ca="1">DATEDIF('DATA PENDUDUK'!$G1244,TODAY(),"Y")&amp; " TAHUN"</f>
        <v>30 TAHUN</v>
      </c>
      <c r="L1244" s="24" t="s">
        <v>2910</v>
      </c>
    </row>
    <row r="1245" spans="1:12" ht="20.100000000000001" customHeight="1" x14ac:dyDescent="0.25">
      <c r="A1245" s="8">
        <f t="shared" si="19"/>
        <v>1242</v>
      </c>
      <c r="B1245" s="21" t="s">
        <v>3039</v>
      </c>
      <c r="C1245" s="21" t="s">
        <v>3040</v>
      </c>
      <c r="D1245" s="22" t="s">
        <v>3041</v>
      </c>
      <c r="E1245" s="22" t="s">
        <v>16</v>
      </c>
      <c r="F1245" s="22" t="s">
        <v>3042</v>
      </c>
      <c r="G1245" s="23">
        <v>35602</v>
      </c>
      <c r="H1245" s="22" t="s">
        <v>438</v>
      </c>
      <c r="I1245" s="22" t="s">
        <v>2937</v>
      </c>
      <c r="J1245" s="22" t="s">
        <v>20</v>
      </c>
      <c r="K1245" s="10" t="str">
        <f ca="1">DATEDIF('DATA PENDUDUK'!$G1245,TODAY(),"Y")&amp; " TAHUN"</f>
        <v>28 TAHUN</v>
      </c>
      <c r="L1245" s="24" t="s">
        <v>2910</v>
      </c>
    </row>
    <row r="1246" spans="1:12" ht="20.100000000000001" customHeight="1" x14ac:dyDescent="0.25">
      <c r="A1246" s="8">
        <f t="shared" si="19"/>
        <v>1243</v>
      </c>
      <c r="B1246" s="21" t="s">
        <v>3039</v>
      </c>
      <c r="C1246" s="21" t="s">
        <v>3043</v>
      </c>
      <c r="D1246" s="22" t="s">
        <v>3044</v>
      </c>
      <c r="E1246" s="22" t="s">
        <v>24</v>
      </c>
      <c r="F1246" s="22" t="s">
        <v>79</v>
      </c>
      <c r="G1246" s="23">
        <v>34571</v>
      </c>
      <c r="H1246" s="22" t="s">
        <v>438</v>
      </c>
      <c r="I1246" s="22"/>
      <c r="J1246" s="22" t="s">
        <v>27</v>
      </c>
      <c r="K1246" s="10" t="str">
        <f ca="1">DATEDIF('DATA PENDUDUK'!$G1246,TODAY(),"Y")&amp; " TAHUN"</f>
        <v>30 TAHUN</v>
      </c>
      <c r="L1246" s="24" t="s">
        <v>2910</v>
      </c>
    </row>
    <row r="1247" spans="1:12" ht="20.100000000000001" customHeight="1" x14ac:dyDescent="0.25">
      <c r="A1247" s="8">
        <f t="shared" si="19"/>
        <v>1244</v>
      </c>
      <c r="B1247" s="24" t="s">
        <v>3039</v>
      </c>
      <c r="C1247" s="21" t="s">
        <v>3045</v>
      </c>
      <c r="D1247" s="22" t="s">
        <v>3046</v>
      </c>
      <c r="E1247" s="22" t="s">
        <v>24</v>
      </c>
      <c r="F1247" s="22" t="s">
        <v>30</v>
      </c>
      <c r="G1247" s="23">
        <v>44941</v>
      </c>
      <c r="H1247" s="22" t="s">
        <v>438</v>
      </c>
      <c r="I1247" s="22" t="s">
        <v>40</v>
      </c>
      <c r="J1247" s="22" t="s">
        <v>32</v>
      </c>
      <c r="K1247" s="10" t="str">
        <f ca="1">DATEDIF('DATA PENDUDUK'!$G1247,TODAY(),"Y")&amp; " TAHUN"</f>
        <v>2 TAHUN</v>
      </c>
      <c r="L1247" s="24" t="s">
        <v>2910</v>
      </c>
    </row>
    <row r="1248" spans="1:12" ht="20.100000000000001" customHeight="1" x14ac:dyDescent="0.25">
      <c r="A1248" s="8">
        <f t="shared" si="19"/>
        <v>1245</v>
      </c>
      <c r="B1248" s="21" t="s">
        <v>2970</v>
      </c>
      <c r="C1248" s="21" t="s">
        <v>2971</v>
      </c>
      <c r="D1248" s="22" t="s">
        <v>2972</v>
      </c>
      <c r="E1248" s="22" t="s">
        <v>16</v>
      </c>
      <c r="F1248" s="22" t="s">
        <v>629</v>
      </c>
      <c r="G1248" s="23">
        <v>35185</v>
      </c>
      <c r="H1248" s="22" t="s">
        <v>35</v>
      </c>
      <c r="I1248" s="22" t="s">
        <v>2937</v>
      </c>
      <c r="J1248" s="22" t="s">
        <v>20</v>
      </c>
      <c r="K1248" s="10" t="str">
        <f ca="1">DATEDIF('DATA PENDUDUK'!$G1248,TODAY(),"Y")&amp; " TAHUN"</f>
        <v>29 TAHUN</v>
      </c>
      <c r="L1248" s="24" t="s">
        <v>2910</v>
      </c>
    </row>
    <row r="1249" spans="1:12" ht="20.100000000000001" customHeight="1" x14ac:dyDescent="0.25">
      <c r="A1249" s="8">
        <f t="shared" si="19"/>
        <v>1246</v>
      </c>
      <c r="B1249" s="24" t="s">
        <v>2970</v>
      </c>
      <c r="C1249" s="21" t="s">
        <v>2974</v>
      </c>
      <c r="D1249" s="22" t="s">
        <v>3047</v>
      </c>
      <c r="E1249" s="22" t="s">
        <v>24</v>
      </c>
      <c r="F1249" s="22" t="s">
        <v>46</v>
      </c>
      <c r="G1249" s="23">
        <v>34778</v>
      </c>
      <c r="H1249" s="22" t="s">
        <v>35</v>
      </c>
      <c r="I1249" s="22" t="s">
        <v>40</v>
      </c>
      <c r="J1249" s="22" t="s">
        <v>27</v>
      </c>
      <c r="K1249" s="10" t="str">
        <f ca="1">DATEDIF('DATA PENDUDUK'!$G1249,TODAY(),"Y")&amp; " TAHUN"</f>
        <v>30 TAHUN</v>
      </c>
      <c r="L1249" s="24" t="s">
        <v>2910</v>
      </c>
    </row>
    <row r="1250" spans="1:12" ht="20.100000000000001" customHeight="1" x14ac:dyDescent="0.25">
      <c r="A1250" s="8">
        <f t="shared" si="19"/>
        <v>1247</v>
      </c>
      <c r="B1250" s="21" t="s">
        <v>2164</v>
      </c>
      <c r="C1250" s="21" t="s">
        <v>3048</v>
      </c>
      <c r="D1250" s="22" t="s">
        <v>3049</v>
      </c>
      <c r="E1250" s="22" t="s">
        <v>16</v>
      </c>
      <c r="F1250" s="22" t="s">
        <v>3050</v>
      </c>
      <c r="G1250" s="23">
        <v>31709</v>
      </c>
      <c r="H1250" s="22" t="s">
        <v>35</v>
      </c>
      <c r="I1250" s="22" t="s">
        <v>2937</v>
      </c>
      <c r="J1250" s="22" t="s">
        <v>20</v>
      </c>
      <c r="K1250" s="10" t="str">
        <f ca="1">DATEDIF('DATA PENDUDUK'!$G1250,TODAY(),"Y")&amp; " TAHUN"</f>
        <v>38 TAHUN</v>
      </c>
      <c r="L1250" s="24" t="s">
        <v>2910</v>
      </c>
    </row>
    <row r="1251" spans="1:12" ht="20.100000000000001" customHeight="1" x14ac:dyDescent="0.25">
      <c r="A1251" s="8">
        <f t="shared" si="19"/>
        <v>1248</v>
      </c>
      <c r="B1251" s="24" t="s">
        <v>2164</v>
      </c>
      <c r="C1251" s="21" t="s">
        <v>3051</v>
      </c>
      <c r="D1251" s="22" t="s">
        <v>3052</v>
      </c>
      <c r="E1251" s="22" t="s">
        <v>24</v>
      </c>
      <c r="F1251" s="22" t="s">
        <v>3053</v>
      </c>
      <c r="G1251" s="23">
        <v>31849</v>
      </c>
      <c r="H1251" s="22" t="s">
        <v>35</v>
      </c>
      <c r="I1251" s="22" t="s">
        <v>1813</v>
      </c>
      <c r="J1251" s="22" t="s">
        <v>27</v>
      </c>
      <c r="K1251" s="10" t="str">
        <f ca="1">DATEDIF('DATA PENDUDUK'!$G1251,TODAY(),"Y")&amp; " TAHUN"</f>
        <v>38 TAHUN</v>
      </c>
      <c r="L1251" s="24" t="s">
        <v>2910</v>
      </c>
    </row>
    <row r="1252" spans="1:12" ht="20.100000000000001" customHeight="1" x14ac:dyDescent="0.25">
      <c r="A1252" s="8">
        <f t="shared" si="19"/>
        <v>1249</v>
      </c>
      <c r="B1252" s="24" t="s">
        <v>2164</v>
      </c>
      <c r="C1252" s="21" t="s">
        <v>3054</v>
      </c>
      <c r="D1252" s="22" t="s">
        <v>3055</v>
      </c>
      <c r="E1252" s="22" t="s">
        <v>24</v>
      </c>
      <c r="F1252" s="22" t="s">
        <v>30</v>
      </c>
      <c r="G1252" s="23">
        <v>41306</v>
      </c>
      <c r="H1252" s="22" t="s">
        <v>35</v>
      </c>
      <c r="I1252" s="22" t="s">
        <v>40</v>
      </c>
      <c r="J1252" s="22" t="s">
        <v>32</v>
      </c>
      <c r="K1252" s="10" t="str">
        <f ca="1">DATEDIF('DATA PENDUDUK'!$G1252,TODAY(),"Y")&amp; " TAHUN"</f>
        <v>12 TAHUN</v>
      </c>
      <c r="L1252" s="24" t="s">
        <v>2910</v>
      </c>
    </row>
    <row r="1253" spans="1:12" ht="20.100000000000001" customHeight="1" x14ac:dyDescent="0.25">
      <c r="A1253" s="8">
        <f t="shared" si="19"/>
        <v>1250</v>
      </c>
      <c r="B1253" s="24" t="s">
        <v>2164</v>
      </c>
      <c r="C1253" s="21" t="s">
        <v>3056</v>
      </c>
      <c r="D1253" s="22" t="s">
        <v>3057</v>
      </c>
      <c r="E1253" s="22" t="s">
        <v>24</v>
      </c>
      <c r="F1253" s="22" t="s">
        <v>30</v>
      </c>
      <c r="G1253" s="23">
        <v>42361</v>
      </c>
      <c r="H1253" s="22" t="s">
        <v>35</v>
      </c>
      <c r="I1253" s="22" t="s">
        <v>40</v>
      </c>
      <c r="J1253" s="22" t="s">
        <v>32</v>
      </c>
      <c r="K1253" s="10" t="str">
        <f ca="1">DATEDIF('DATA PENDUDUK'!$G1253,TODAY(),"Y")&amp; " TAHUN"</f>
        <v>9 TAHUN</v>
      </c>
      <c r="L1253" s="24" t="s">
        <v>2910</v>
      </c>
    </row>
    <row r="1254" spans="1:12" ht="20.100000000000001" customHeight="1" x14ac:dyDescent="0.25">
      <c r="A1254" s="8">
        <f t="shared" si="19"/>
        <v>1251</v>
      </c>
      <c r="B1254" s="21" t="s">
        <v>3058</v>
      </c>
      <c r="C1254" s="21" t="s">
        <v>3059</v>
      </c>
      <c r="D1254" s="22" t="s">
        <v>3060</v>
      </c>
      <c r="E1254" s="22" t="s">
        <v>16</v>
      </c>
      <c r="F1254" s="22" t="s">
        <v>1360</v>
      </c>
      <c r="G1254" s="23">
        <v>34913</v>
      </c>
      <c r="H1254" s="22" t="s">
        <v>35</v>
      </c>
      <c r="I1254" s="22" t="s">
        <v>2937</v>
      </c>
      <c r="J1254" s="22" t="s">
        <v>20</v>
      </c>
      <c r="K1254" s="10" t="str">
        <f ca="1">DATEDIF('DATA PENDUDUK'!$G1254,TODAY(),"Y")&amp; " TAHUN"</f>
        <v>29 TAHUN</v>
      </c>
      <c r="L1254" s="24" t="s">
        <v>2910</v>
      </c>
    </row>
    <row r="1255" spans="1:12" ht="20.100000000000001" customHeight="1" x14ac:dyDescent="0.25">
      <c r="A1255" s="8">
        <f t="shared" si="19"/>
        <v>1252</v>
      </c>
      <c r="B1255" s="21" t="s">
        <v>3058</v>
      </c>
      <c r="C1255" s="21" t="s">
        <v>3061</v>
      </c>
      <c r="D1255" s="22" t="s">
        <v>3062</v>
      </c>
      <c r="E1255" s="22" t="s">
        <v>24</v>
      </c>
      <c r="F1255" s="22" t="s">
        <v>889</v>
      </c>
      <c r="G1255" s="23">
        <v>35493</v>
      </c>
      <c r="H1255" s="22" t="s">
        <v>35</v>
      </c>
      <c r="I1255" s="22" t="s">
        <v>2598</v>
      </c>
      <c r="J1255" s="22" t="s">
        <v>27</v>
      </c>
      <c r="K1255" s="10" t="str">
        <f ca="1">DATEDIF('DATA PENDUDUK'!$G1255,TODAY(),"Y")&amp; " TAHUN"</f>
        <v>28 TAHUN</v>
      </c>
      <c r="L1255" s="24" t="s">
        <v>2910</v>
      </c>
    </row>
    <row r="1256" spans="1:12" ht="20.100000000000001" customHeight="1" x14ac:dyDescent="0.25">
      <c r="A1256" s="8">
        <f t="shared" si="19"/>
        <v>1253</v>
      </c>
      <c r="B1256" s="21" t="s">
        <v>3063</v>
      </c>
      <c r="C1256" s="21" t="s">
        <v>3064</v>
      </c>
      <c r="D1256" s="22" t="s">
        <v>3065</v>
      </c>
      <c r="E1256" s="22" t="s">
        <v>16</v>
      </c>
      <c r="F1256" s="22" t="s">
        <v>3066</v>
      </c>
      <c r="G1256" s="23">
        <v>35353</v>
      </c>
      <c r="H1256" s="22" t="s">
        <v>35</v>
      </c>
      <c r="I1256" s="22" t="s">
        <v>2937</v>
      </c>
      <c r="J1256" s="22" t="s">
        <v>20</v>
      </c>
      <c r="K1256" s="10" t="str">
        <f ca="1">DATEDIF('DATA PENDUDUK'!$G1256,TODAY(),"Y")&amp; " TAHUN"</f>
        <v>28 TAHUN</v>
      </c>
      <c r="L1256" s="24" t="s">
        <v>2910</v>
      </c>
    </row>
    <row r="1257" spans="1:12" ht="20.100000000000001" customHeight="1" x14ac:dyDescent="0.25">
      <c r="A1257" s="8">
        <f t="shared" si="19"/>
        <v>1254</v>
      </c>
      <c r="B1257" s="21" t="s">
        <v>3063</v>
      </c>
      <c r="C1257" s="21" t="s">
        <v>3067</v>
      </c>
      <c r="D1257" s="22" t="s">
        <v>3068</v>
      </c>
      <c r="E1257" s="22" t="s">
        <v>24</v>
      </c>
      <c r="F1257" s="22" t="s">
        <v>3069</v>
      </c>
      <c r="G1257" s="23">
        <v>36739</v>
      </c>
      <c r="H1257" s="22" t="s">
        <v>35</v>
      </c>
      <c r="I1257" s="22" t="s">
        <v>2598</v>
      </c>
      <c r="J1257" s="22" t="s">
        <v>27</v>
      </c>
      <c r="K1257" s="10" t="str">
        <f ca="1">DATEDIF('DATA PENDUDUK'!$G1257,TODAY(),"Y")&amp; " TAHUN"</f>
        <v>24 TAHUN</v>
      </c>
      <c r="L1257" s="24" t="s">
        <v>2910</v>
      </c>
    </row>
    <row r="1258" spans="1:12" ht="20.100000000000001" customHeight="1" x14ac:dyDescent="0.25">
      <c r="A1258" s="8">
        <f t="shared" si="19"/>
        <v>1255</v>
      </c>
      <c r="B1258" s="21" t="s">
        <v>3070</v>
      </c>
      <c r="C1258" s="21" t="s">
        <v>3071</v>
      </c>
      <c r="D1258" s="22" t="s">
        <v>3072</v>
      </c>
      <c r="E1258" s="22" t="s">
        <v>16</v>
      </c>
      <c r="F1258" s="22" t="s">
        <v>3073</v>
      </c>
      <c r="G1258" s="23">
        <v>33630</v>
      </c>
      <c r="H1258" s="22" t="s">
        <v>35</v>
      </c>
      <c r="I1258" s="22" t="s">
        <v>2937</v>
      </c>
      <c r="J1258" s="22" t="s">
        <v>20</v>
      </c>
      <c r="K1258" s="10" t="str">
        <f ca="1">DATEDIF('DATA PENDUDUK'!$G1258,TODAY(),"Y")&amp; " TAHUN"</f>
        <v>33 TAHUN</v>
      </c>
      <c r="L1258" s="24" t="s">
        <v>2910</v>
      </c>
    </row>
    <row r="1259" spans="1:12" ht="20.100000000000001" customHeight="1" x14ac:dyDescent="0.25">
      <c r="A1259" s="8">
        <f t="shared" si="19"/>
        <v>1256</v>
      </c>
      <c r="B1259" s="21" t="s">
        <v>3070</v>
      </c>
      <c r="C1259" s="21" t="s">
        <v>3074</v>
      </c>
      <c r="D1259" s="22" t="s">
        <v>3075</v>
      </c>
      <c r="E1259" s="22" t="s">
        <v>24</v>
      </c>
      <c r="F1259" s="22" t="s">
        <v>189</v>
      </c>
      <c r="G1259" s="23">
        <v>33696</v>
      </c>
      <c r="H1259" s="22" t="s">
        <v>35</v>
      </c>
      <c r="I1259" s="22" t="s">
        <v>73</v>
      </c>
      <c r="J1259" s="22" t="s">
        <v>27</v>
      </c>
      <c r="K1259" s="10" t="str">
        <f ca="1">DATEDIF('DATA PENDUDUK'!$G1259,TODAY(),"Y")&amp; " TAHUN"</f>
        <v>33 TAHUN</v>
      </c>
      <c r="L1259" s="24" t="s">
        <v>2910</v>
      </c>
    </row>
    <row r="1260" spans="1:12" ht="20.100000000000001" customHeight="1" x14ac:dyDescent="0.25">
      <c r="A1260" s="8">
        <f t="shared" si="19"/>
        <v>1257</v>
      </c>
      <c r="B1260" s="21" t="s">
        <v>3070</v>
      </c>
      <c r="C1260" s="21" t="s">
        <v>3076</v>
      </c>
      <c r="D1260" s="22" t="s">
        <v>3077</v>
      </c>
      <c r="E1260" s="22" t="s">
        <v>24</v>
      </c>
      <c r="F1260" s="22" t="s">
        <v>30</v>
      </c>
      <c r="G1260" s="23">
        <v>43566</v>
      </c>
      <c r="H1260" s="22" t="s">
        <v>35</v>
      </c>
      <c r="I1260" s="22" t="s">
        <v>40</v>
      </c>
      <c r="J1260" s="22" t="s">
        <v>32</v>
      </c>
      <c r="K1260" s="10" t="str">
        <f ca="1">DATEDIF('DATA PENDUDUK'!$G1260,TODAY(),"Y")&amp; " TAHUN"</f>
        <v>6 TAHUN</v>
      </c>
      <c r="L1260" s="24" t="s">
        <v>2910</v>
      </c>
    </row>
    <row r="1261" spans="1:12" ht="20.100000000000001" customHeight="1" x14ac:dyDescent="0.25">
      <c r="A1261" s="8">
        <f t="shared" si="19"/>
        <v>1258</v>
      </c>
      <c r="B1261" s="21" t="s">
        <v>3070</v>
      </c>
      <c r="C1261" s="21" t="s">
        <v>3078</v>
      </c>
      <c r="D1261" s="22" t="s">
        <v>3079</v>
      </c>
      <c r="E1261" s="22" t="s">
        <v>16</v>
      </c>
      <c r="F1261" s="22" t="s">
        <v>189</v>
      </c>
      <c r="G1261" s="23">
        <v>37780</v>
      </c>
      <c r="H1261" s="22" t="s">
        <v>35</v>
      </c>
      <c r="I1261" s="22" t="s">
        <v>31</v>
      </c>
      <c r="J1261" s="22" t="s">
        <v>37</v>
      </c>
      <c r="K1261" s="10" t="str">
        <f ca="1">DATEDIF('DATA PENDUDUK'!$G1261,TODAY(),"Y")&amp; " TAHUN"</f>
        <v>22 TAHUN</v>
      </c>
      <c r="L1261" s="24" t="s">
        <v>2910</v>
      </c>
    </row>
    <row r="1262" spans="1:12" ht="20.100000000000001" customHeight="1" x14ac:dyDescent="0.25">
      <c r="A1262" s="8">
        <f t="shared" si="19"/>
        <v>1259</v>
      </c>
      <c r="B1262" s="21" t="s">
        <v>3080</v>
      </c>
      <c r="C1262" s="21" t="s">
        <v>3081</v>
      </c>
      <c r="D1262" s="22" t="s">
        <v>3082</v>
      </c>
      <c r="E1262" s="22" t="s">
        <v>16</v>
      </c>
      <c r="F1262" s="22" t="s">
        <v>3083</v>
      </c>
      <c r="G1262" s="23">
        <v>28317</v>
      </c>
      <c r="H1262" s="22" t="s">
        <v>35</v>
      </c>
      <c r="I1262" s="22" t="s">
        <v>2593</v>
      </c>
      <c r="J1262" s="22" t="s">
        <v>20</v>
      </c>
      <c r="K1262" s="10" t="str">
        <f ca="1">DATEDIF('DATA PENDUDUK'!$G1262,TODAY(),"Y")&amp; " TAHUN"</f>
        <v>48 TAHUN</v>
      </c>
      <c r="L1262" s="24" t="s">
        <v>2910</v>
      </c>
    </row>
    <row r="1263" spans="1:12" ht="20.100000000000001" customHeight="1" x14ac:dyDescent="0.25">
      <c r="A1263" s="8">
        <f t="shared" si="19"/>
        <v>1260</v>
      </c>
      <c r="B1263" s="21" t="s">
        <v>3084</v>
      </c>
      <c r="C1263" s="21" t="s">
        <v>3085</v>
      </c>
      <c r="D1263" s="22" t="s">
        <v>3086</v>
      </c>
      <c r="E1263" s="22" t="s">
        <v>16</v>
      </c>
      <c r="F1263" s="22" t="s">
        <v>2969</v>
      </c>
      <c r="G1263" s="23">
        <v>33282</v>
      </c>
      <c r="H1263" s="22" t="s">
        <v>35</v>
      </c>
      <c r="I1263" s="22" t="s">
        <v>2937</v>
      </c>
      <c r="J1263" s="22" t="s">
        <v>20</v>
      </c>
      <c r="K1263" s="10" t="str">
        <f ca="1">DATEDIF('DATA PENDUDUK'!$G1263,TODAY(),"Y")&amp; " TAHUN"</f>
        <v>34 TAHUN</v>
      </c>
      <c r="L1263" s="24" t="s">
        <v>2910</v>
      </c>
    </row>
    <row r="1264" spans="1:12" ht="20.100000000000001" customHeight="1" x14ac:dyDescent="0.25">
      <c r="A1264" s="8">
        <f t="shared" si="19"/>
        <v>1261</v>
      </c>
      <c r="B1264" s="21" t="s">
        <v>3084</v>
      </c>
      <c r="C1264" s="21" t="s">
        <v>3087</v>
      </c>
      <c r="D1264" s="22" t="s">
        <v>3088</v>
      </c>
      <c r="E1264" s="22" t="s">
        <v>24</v>
      </c>
      <c r="F1264" s="22" t="s">
        <v>3089</v>
      </c>
      <c r="G1264" s="23">
        <v>33370</v>
      </c>
      <c r="H1264" s="22" t="s">
        <v>35</v>
      </c>
      <c r="I1264" s="22" t="s">
        <v>2598</v>
      </c>
      <c r="J1264" s="22" t="s">
        <v>27</v>
      </c>
      <c r="K1264" s="10" t="str">
        <f ca="1">DATEDIF('DATA PENDUDUK'!$G1264,TODAY(),"Y")&amp; " TAHUN"</f>
        <v>34 TAHUN</v>
      </c>
      <c r="L1264" s="24" t="s">
        <v>2910</v>
      </c>
    </row>
    <row r="1265" spans="1:12" ht="20.100000000000001" customHeight="1" x14ac:dyDescent="0.25">
      <c r="A1265" s="8">
        <f t="shared" si="19"/>
        <v>1262</v>
      </c>
      <c r="B1265" s="21" t="s">
        <v>3084</v>
      </c>
      <c r="C1265" s="21" t="s">
        <v>3090</v>
      </c>
      <c r="D1265" s="22" t="s">
        <v>3091</v>
      </c>
      <c r="E1265" s="22" t="s">
        <v>24</v>
      </c>
      <c r="F1265" s="22" t="s">
        <v>3089</v>
      </c>
      <c r="G1265" s="23">
        <v>42722</v>
      </c>
      <c r="H1265" s="22" t="s">
        <v>35</v>
      </c>
      <c r="I1265" s="22" t="s">
        <v>40</v>
      </c>
      <c r="J1265" s="22" t="s">
        <v>32</v>
      </c>
      <c r="K1265" s="10" t="str">
        <f ca="1">DATEDIF('DATA PENDUDUK'!$G1265,TODAY(),"Y")&amp; " TAHUN"</f>
        <v>8 TAHUN</v>
      </c>
      <c r="L1265" s="24" t="s">
        <v>2910</v>
      </c>
    </row>
    <row r="1266" spans="1:12" ht="20.100000000000001" customHeight="1" x14ac:dyDescent="0.25">
      <c r="A1266" s="8">
        <f t="shared" si="19"/>
        <v>1263</v>
      </c>
      <c r="B1266" s="21" t="s">
        <v>3084</v>
      </c>
      <c r="C1266" s="21" t="s">
        <v>3092</v>
      </c>
      <c r="D1266" s="22" t="s">
        <v>3093</v>
      </c>
      <c r="E1266" s="22" t="s">
        <v>16</v>
      </c>
      <c r="F1266" s="22" t="s">
        <v>30</v>
      </c>
      <c r="G1266" s="23">
        <v>44670</v>
      </c>
      <c r="H1266" s="22" t="s">
        <v>35</v>
      </c>
      <c r="I1266" s="22" t="s">
        <v>40</v>
      </c>
      <c r="J1266" s="22" t="s">
        <v>32</v>
      </c>
      <c r="K1266" s="10" t="str">
        <f ca="1">DATEDIF('DATA PENDUDUK'!$G1266,TODAY(),"Y")&amp; " TAHUN"</f>
        <v>3 TAHUN</v>
      </c>
      <c r="L1266" s="24" t="s">
        <v>2910</v>
      </c>
    </row>
    <row r="1267" spans="1:12" ht="20.100000000000001" customHeight="1" x14ac:dyDescent="0.25">
      <c r="A1267" s="8">
        <f t="shared" si="19"/>
        <v>1264</v>
      </c>
      <c r="B1267" s="21" t="s">
        <v>3094</v>
      </c>
      <c r="C1267" s="21" t="s">
        <v>3095</v>
      </c>
      <c r="D1267" s="22" t="s">
        <v>3096</v>
      </c>
      <c r="E1267" s="22" t="s">
        <v>16</v>
      </c>
      <c r="F1267" s="22" t="s">
        <v>205</v>
      </c>
      <c r="G1267" s="23">
        <v>34448</v>
      </c>
      <c r="H1267" s="22" t="s">
        <v>35</v>
      </c>
      <c r="I1267" s="22" t="s">
        <v>2593</v>
      </c>
      <c r="J1267" s="22" t="s">
        <v>20</v>
      </c>
      <c r="K1267" s="10" t="str">
        <f ca="1">DATEDIF('DATA PENDUDUK'!$G1267,TODAY(),"Y")&amp; " TAHUN"</f>
        <v>31 TAHUN</v>
      </c>
      <c r="L1267" s="24" t="s">
        <v>2910</v>
      </c>
    </row>
    <row r="1268" spans="1:12" ht="20.100000000000001" customHeight="1" x14ac:dyDescent="0.25">
      <c r="A1268" s="8">
        <f t="shared" si="19"/>
        <v>1265</v>
      </c>
      <c r="B1268" s="21" t="s">
        <v>3094</v>
      </c>
      <c r="C1268" s="21" t="s">
        <v>3097</v>
      </c>
      <c r="D1268" s="22" t="s">
        <v>3098</v>
      </c>
      <c r="E1268" s="22" t="s">
        <v>24</v>
      </c>
      <c r="F1268" s="22" t="s">
        <v>3099</v>
      </c>
      <c r="G1268" s="23">
        <v>34018</v>
      </c>
      <c r="H1268" s="22" t="s">
        <v>35</v>
      </c>
      <c r="I1268" s="22" t="s">
        <v>2598</v>
      </c>
      <c r="J1268" s="22" t="s">
        <v>27</v>
      </c>
      <c r="K1268" s="10" t="str">
        <f ca="1">DATEDIF('DATA PENDUDUK'!$G1268,TODAY(),"Y")&amp; " TAHUN"</f>
        <v>32 TAHUN</v>
      </c>
      <c r="L1268" s="24" t="s">
        <v>2910</v>
      </c>
    </row>
    <row r="1269" spans="1:12" ht="20.100000000000001" customHeight="1" x14ac:dyDescent="0.25">
      <c r="A1269" s="8">
        <f t="shared" si="19"/>
        <v>1266</v>
      </c>
      <c r="B1269" s="21" t="s">
        <v>3094</v>
      </c>
      <c r="C1269" s="21" t="s">
        <v>3100</v>
      </c>
      <c r="D1269" s="22" t="s">
        <v>3101</v>
      </c>
      <c r="E1269" s="22" t="s">
        <v>24</v>
      </c>
      <c r="F1269" s="22" t="s">
        <v>205</v>
      </c>
      <c r="G1269" s="23">
        <v>39625</v>
      </c>
      <c r="H1269" s="22" t="s">
        <v>35</v>
      </c>
      <c r="I1269" s="22" t="s">
        <v>31</v>
      </c>
      <c r="J1269" s="22" t="s">
        <v>32</v>
      </c>
      <c r="K1269" s="10" t="str">
        <f ca="1">DATEDIF('DATA PENDUDUK'!$G1269,TODAY(),"Y")&amp; " TAHUN"</f>
        <v>17 TAHUN</v>
      </c>
      <c r="L1269" s="24" t="s">
        <v>2910</v>
      </c>
    </row>
    <row r="1270" spans="1:12" ht="20.100000000000001" customHeight="1" x14ac:dyDescent="0.25">
      <c r="A1270" s="8">
        <f t="shared" si="19"/>
        <v>1267</v>
      </c>
      <c r="B1270" s="21" t="s">
        <v>3094</v>
      </c>
      <c r="C1270" s="21" t="s">
        <v>3102</v>
      </c>
      <c r="D1270" s="22" t="s">
        <v>3103</v>
      </c>
      <c r="E1270" s="22" t="s">
        <v>24</v>
      </c>
      <c r="F1270" s="22" t="s">
        <v>205</v>
      </c>
      <c r="G1270" s="23">
        <v>42487</v>
      </c>
      <c r="H1270" s="22" t="s">
        <v>35</v>
      </c>
      <c r="I1270" s="22" t="s">
        <v>40</v>
      </c>
      <c r="J1270" s="22" t="s">
        <v>32</v>
      </c>
      <c r="K1270" s="10" t="str">
        <f ca="1">DATEDIF('DATA PENDUDUK'!$G1270,TODAY(),"Y")&amp; " TAHUN"</f>
        <v>9 TAHUN</v>
      </c>
      <c r="L1270" s="24" t="s">
        <v>2910</v>
      </c>
    </row>
    <row r="1271" spans="1:12" ht="20.100000000000001" customHeight="1" x14ac:dyDescent="0.25">
      <c r="A1271" s="8">
        <f t="shared" si="19"/>
        <v>1268</v>
      </c>
      <c r="B1271" s="21" t="s">
        <v>3094</v>
      </c>
      <c r="C1271" s="21" t="s">
        <v>3104</v>
      </c>
      <c r="D1271" s="22" t="s">
        <v>3105</v>
      </c>
      <c r="E1271" s="22" t="s">
        <v>24</v>
      </c>
      <c r="F1271" s="22" t="s">
        <v>205</v>
      </c>
      <c r="G1271" s="23">
        <v>44686</v>
      </c>
      <c r="H1271" s="22" t="s">
        <v>35</v>
      </c>
      <c r="I1271" s="22" t="s">
        <v>40</v>
      </c>
      <c r="J1271" s="22" t="s">
        <v>32</v>
      </c>
      <c r="K1271" s="10" t="str">
        <f ca="1">DATEDIF('DATA PENDUDUK'!$G1271,TODAY(),"Y")&amp; " TAHUN"</f>
        <v>3 TAHUN</v>
      </c>
      <c r="L1271" s="24" t="s">
        <v>2910</v>
      </c>
    </row>
    <row r="1272" spans="1:12" ht="20.100000000000001" customHeight="1" x14ac:dyDescent="0.25">
      <c r="A1272" s="8">
        <f t="shared" si="19"/>
        <v>1269</v>
      </c>
      <c r="B1272" s="21" t="s">
        <v>3106</v>
      </c>
      <c r="C1272" s="21" t="s">
        <v>3107</v>
      </c>
      <c r="D1272" s="22" t="s">
        <v>3108</v>
      </c>
      <c r="E1272" s="22" t="s">
        <v>24</v>
      </c>
      <c r="F1272" s="22" t="s">
        <v>629</v>
      </c>
      <c r="G1272" s="23">
        <v>24659</v>
      </c>
      <c r="H1272" s="22" t="s">
        <v>35</v>
      </c>
      <c r="I1272" s="22" t="s">
        <v>2598</v>
      </c>
      <c r="J1272" s="22" t="s">
        <v>20</v>
      </c>
      <c r="K1272" s="10" t="str">
        <f ca="1">DATEDIF('DATA PENDUDUK'!$G1272,TODAY(),"Y")&amp; " TAHUN"</f>
        <v>58 TAHUN</v>
      </c>
      <c r="L1272" s="24" t="s">
        <v>2910</v>
      </c>
    </row>
    <row r="1273" spans="1:12" ht="20.100000000000001" customHeight="1" x14ac:dyDescent="0.25">
      <c r="A1273" s="8">
        <f t="shared" si="19"/>
        <v>1270</v>
      </c>
      <c r="B1273" s="21" t="s">
        <v>3106</v>
      </c>
      <c r="C1273" s="21" t="s">
        <v>3109</v>
      </c>
      <c r="D1273" s="22" t="s">
        <v>3110</v>
      </c>
      <c r="E1273" s="22" t="s">
        <v>16</v>
      </c>
      <c r="F1273" s="22" t="s">
        <v>3083</v>
      </c>
      <c r="G1273" s="23">
        <v>28949</v>
      </c>
      <c r="H1273" s="22" t="s">
        <v>35</v>
      </c>
      <c r="I1273" s="22" t="s">
        <v>2593</v>
      </c>
      <c r="J1273" s="22" t="s">
        <v>37</v>
      </c>
      <c r="K1273" s="10" t="str">
        <f ca="1">DATEDIF('DATA PENDUDUK'!$G1273,TODAY(),"Y")&amp; " TAHUN"</f>
        <v>46 TAHUN</v>
      </c>
      <c r="L1273" s="24" t="s">
        <v>2910</v>
      </c>
    </row>
    <row r="1274" spans="1:12" ht="20.100000000000001" customHeight="1" x14ac:dyDescent="0.25">
      <c r="A1274" s="8">
        <f t="shared" si="19"/>
        <v>1271</v>
      </c>
      <c r="B1274" s="21" t="s">
        <v>3106</v>
      </c>
      <c r="C1274" s="21" t="s">
        <v>3111</v>
      </c>
      <c r="D1274" s="22" t="s">
        <v>3112</v>
      </c>
      <c r="E1274" s="22" t="s">
        <v>16</v>
      </c>
      <c r="F1274" s="22" t="s">
        <v>3083</v>
      </c>
      <c r="G1274" s="23">
        <v>39389</v>
      </c>
      <c r="H1274" s="22" t="s">
        <v>35</v>
      </c>
      <c r="I1274" s="22" t="s">
        <v>40</v>
      </c>
      <c r="J1274" s="22" t="s">
        <v>37</v>
      </c>
      <c r="K1274" s="10" t="str">
        <f ca="1">DATEDIF('DATA PENDUDUK'!$G1274,TODAY(),"Y")&amp; " TAHUN"</f>
        <v>17 TAHUN</v>
      </c>
      <c r="L1274" s="24" t="s">
        <v>2910</v>
      </c>
    </row>
    <row r="1275" spans="1:12" ht="20.100000000000001" customHeight="1" x14ac:dyDescent="0.25">
      <c r="A1275" s="8">
        <f t="shared" si="19"/>
        <v>1272</v>
      </c>
      <c r="B1275" s="21" t="s">
        <v>3113</v>
      </c>
      <c r="C1275" s="21" t="s">
        <v>3114</v>
      </c>
      <c r="D1275" s="22" t="s">
        <v>3115</v>
      </c>
      <c r="E1275" s="22" t="s">
        <v>16</v>
      </c>
      <c r="F1275" s="22" t="s">
        <v>3116</v>
      </c>
      <c r="G1275" s="23">
        <v>35637</v>
      </c>
      <c r="H1275" s="22" t="s">
        <v>35</v>
      </c>
      <c r="I1275" s="22" t="s">
        <v>2937</v>
      </c>
      <c r="J1275" s="22" t="s">
        <v>20</v>
      </c>
      <c r="K1275" s="10" t="str">
        <f ca="1">DATEDIF('DATA PENDUDUK'!$G1275,TODAY(),"Y")&amp; " TAHUN"</f>
        <v>27 TAHUN</v>
      </c>
      <c r="L1275" s="24" t="s">
        <v>2910</v>
      </c>
    </row>
    <row r="1276" spans="1:12" ht="20.100000000000001" customHeight="1" x14ac:dyDescent="0.25">
      <c r="A1276" s="8">
        <f t="shared" si="19"/>
        <v>1273</v>
      </c>
      <c r="B1276" s="21" t="s">
        <v>3113</v>
      </c>
      <c r="C1276" s="21" t="s">
        <v>3117</v>
      </c>
      <c r="D1276" s="22" t="s">
        <v>3118</v>
      </c>
      <c r="E1276" s="22" t="s">
        <v>24</v>
      </c>
      <c r="F1276" s="22" t="s">
        <v>30</v>
      </c>
      <c r="G1276" s="23">
        <v>36985</v>
      </c>
      <c r="H1276" s="22" t="s">
        <v>35</v>
      </c>
      <c r="I1276" s="22" t="s">
        <v>73</v>
      </c>
      <c r="J1276" s="22" t="s">
        <v>27</v>
      </c>
      <c r="K1276" s="10" t="str">
        <f ca="1">DATEDIF('DATA PENDUDUK'!$G1276,TODAY(),"Y")&amp; " TAHUN"</f>
        <v>24 TAHUN</v>
      </c>
      <c r="L1276" s="24" t="s">
        <v>2910</v>
      </c>
    </row>
    <row r="1277" spans="1:12" ht="20.100000000000001" customHeight="1" x14ac:dyDescent="0.25">
      <c r="A1277" s="8">
        <f t="shared" si="19"/>
        <v>1274</v>
      </c>
      <c r="B1277" s="21" t="s">
        <v>3119</v>
      </c>
      <c r="C1277" s="21" t="s">
        <v>3120</v>
      </c>
      <c r="D1277" s="22" t="s">
        <v>3121</v>
      </c>
      <c r="E1277" s="22" t="s">
        <v>16</v>
      </c>
      <c r="F1277" s="22" t="s">
        <v>2969</v>
      </c>
      <c r="G1277" s="23">
        <v>34385</v>
      </c>
      <c r="H1277" s="22" t="s">
        <v>35</v>
      </c>
      <c r="I1277" s="22" t="s">
        <v>2937</v>
      </c>
      <c r="J1277" s="22" t="s">
        <v>20</v>
      </c>
      <c r="K1277" s="10" t="str">
        <f ca="1">DATEDIF('DATA PENDUDUK'!$G1277,TODAY(),"Y")&amp; " TAHUN"</f>
        <v>31 TAHUN</v>
      </c>
      <c r="L1277" s="24" t="s">
        <v>2910</v>
      </c>
    </row>
    <row r="1278" spans="1:12" ht="20.100000000000001" customHeight="1" x14ac:dyDescent="0.25">
      <c r="A1278" s="8">
        <f t="shared" si="19"/>
        <v>1275</v>
      </c>
      <c r="B1278" s="21" t="s">
        <v>3119</v>
      </c>
      <c r="C1278" s="21" t="s">
        <v>3122</v>
      </c>
      <c r="D1278" s="22" t="s">
        <v>3123</v>
      </c>
      <c r="E1278" s="22" t="s">
        <v>24</v>
      </c>
      <c r="F1278" s="22" t="s">
        <v>2176</v>
      </c>
      <c r="G1278" s="23">
        <v>35530</v>
      </c>
      <c r="H1278" s="22" t="s">
        <v>35</v>
      </c>
      <c r="I1278" s="22" t="s">
        <v>19</v>
      </c>
      <c r="J1278" s="22" t="s">
        <v>27</v>
      </c>
      <c r="K1278" s="10" t="str">
        <f ca="1">DATEDIF('DATA PENDUDUK'!$G1278,TODAY(),"Y")&amp; " TAHUN"</f>
        <v>28 TAHUN</v>
      </c>
      <c r="L1278" s="24" t="s">
        <v>2910</v>
      </c>
    </row>
    <row r="1279" spans="1:12" ht="20.100000000000001" customHeight="1" x14ac:dyDescent="0.25">
      <c r="A1279" s="8">
        <f t="shared" si="19"/>
        <v>1276</v>
      </c>
      <c r="B1279" s="21" t="s">
        <v>3124</v>
      </c>
      <c r="C1279" s="21" t="s">
        <v>3125</v>
      </c>
      <c r="D1279" s="22" t="s">
        <v>3126</v>
      </c>
      <c r="E1279" s="22" t="s">
        <v>16</v>
      </c>
      <c r="F1279" s="22" t="s">
        <v>68</v>
      </c>
      <c r="G1279" s="23">
        <v>34252</v>
      </c>
      <c r="H1279" s="22" t="s">
        <v>35</v>
      </c>
      <c r="I1279" s="22" t="s">
        <v>2937</v>
      </c>
      <c r="J1279" s="22" t="s">
        <v>20</v>
      </c>
      <c r="K1279" s="10" t="str">
        <f ca="1">DATEDIF('DATA PENDUDUK'!$G1279,TODAY(),"Y")&amp; " TAHUN"</f>
        <v>31 TAHUN</v>
      </c>
      <c r="L1279" s="24" t="s">
        <v>2910</v>
      </c>
    </row>
    <row r="1280" spans="1:12" ht="20.100000000000001" customHeight="1" x14ac:dyDescent="0.25">
      <c r="A1280" s="8">
        <f t="shared" si="19"/>
        <v>1277</v>
      </c>
      <c r="B1280" s="21" t="s">
        <v>3124</v>
      </c>
      <c r="C1280" s="21" t="s">
        <v>3127</v>
      </c>
      <c r="D1280" s="22" t="s">
        <v>3128</v>
      </c>
      <c r="E1280" s="22" t="s">
        <v>24</v>
      </c>
      <c r="F1280" s="22" t="s">
        <v>2335</v>
      </c>
      <c r="G1280" s="23">
        <v>35417</v>
      </c>
      <c r="H1280" s="22" t="s">
        <v>35</v>
      </c>
      <c r="I1280" s="22" t="s">
        <v>19</v>
      </c>
      <c r="J1280" s="22" t="s">
        <v>27</v>
      </c>
      <c r="K1280" s="10" t="str">
        <f ca="1">DATEDIF('DATA PENDUDUK'!$G1280,TODAY(),"Y")&amp; " TAHUN"</f>
        <v>28 TAHUN</v>
      </c>
      <c r="L1280" s="24" t="s">
        <v>2910</v>
      </c>
    </row>
    <row r="1281" spans="1:12" ht="20.100000000000001" customHeight="1" x14ac:dyDescent="0.25">
      <c r="A1281" s="8">
        <f t="shared" si="19"/>
        <v>1278</v>
      </c>
      <c r="B1281" s="21" t="s">
        <v>3124</v>
      </c>
      <c r="C1281" s="21" t="s">
        <v>3129</v>
      </c>
      <c r="D1281" s="22" t="s">
        <v>3130</v>
      </c>
      <c r="E1281" s="22" t="s">
        <v>24</v>
      </c>
      <c r="F1281" s="22" t="s">
        <v>2335</v>
      </c>
      <c r="G1281" s="23">
        <v>44139</v>
      </c>
      <c r="H1281" s="22" t="s">
        <v>35</v>
      </c>
      <c r="I1281" s="22" t="s">
        <v>40</v>
      </c>
      <c r="J1281" s="22" t="s">
        <v>32</v>
      </c>
      <c r="K1281" s="10" t="str">
        <f ca="1">DATEDIF('DATA PENDUDUK'!$G1281,TODAY(),"Y")&amp; " TAHUN"</f>
        <v>4 TAHUN</v>
      </c>
      <c r="L1281" s="24" t="s">
        <v>2910</v>
      </c>
    </row>
    <row r="1282" spans="1:12" ht="20.100000000000001" customHeight="1" x14ac:dyDescent="0.25">
      <c r="A1282" s="8">
        <f t="shared" si="19"/>
        <v>1279</v>
      </c>
      <c r="B1282" s="21" t="s">
        <v>3124</v>
      </c>
      <c r="C1282" s="21" t="s">
        <v>3131</v>
      </c>
      <c r="D1282" s="22" t="s">
        <v>3132</v>
      </c>
      <c r="E1282" s="22" t="s">
        <v>16</v>
      </c>
      <c r="F1282" s="22" t="s">
        <v>195</v>
      </c>
      <c r="G1282" s="23">
        <v>45146</v>
      </c>
      <c r="H1282" s="22" t="s">
        <v>35</v>
      </c>
      <c r="I1282" s="22" t="s">
        <v>40</v>
      </c>
      <c r="J1282" s="22" t="s">
        <v>32</v>
      </c>
      <c r="K1282" s="10" t="str">
        <f ca="1">DATEDIF('DATA PENDUDUK'!$G1282,TODAY(),"Y")&amp; " TAHUN"</f>
        <v>1 TAHUN</v>
      </c>
      <c r="L1282" s="24" t="s">
        <v>2910</v>
      </c>
    </row>
    <row r="1283" spans="1:12" ht="20.100000000000001" customHeight="1" x14ac:dyDescent="0.25">
      <c r="A1283" s="8">
        <f t="shared" si="19"/>
        <v>1280</v>
      </c>
      <c r="B1283" s="21" t="s">
        <v>3133</v>
      </c>
      <c r="C1283" s="21" t="s">
        <v>3134</v>
      </c>
      <c r="D1283" s="22" t="s">
        <v>3135</v>
      </c>
      <c r="E1283" s="22" t="s">
        <v>16</v>
      </c>
      <c r="F1283" s="22" t="s">
        <v>2256</v>
      </c>
      <c r="G1283" s="23">
        <v>34774</v>
      </c>
      <c r="H1283" s="22" t="s">
        <v>35</v>
      </c>
      <c r="I1283" s="22" t="s">
        <v>2937</v>
      </c>
      <c r="J1283" s="22" t="s">
        <v>20</v>
      </c>
      <c r="K1283" s="10" t="str">
        <f ca="1">DATEDIF('DATA PENDUDUK'!$G1283,TODAY(),"Y")&amp; " TAHUN"</f>
        <v>30 TAHUN</v>
      </c>
      <c r="L1283" s="24" t="s">
        <v>2910</v>
      </c>
    </row>
    <row r="1284" spans="1:12" ht="20.100000000000001" customHeight="1" x14ac:dyDescent="0.25">
      <c r="A1284" s="8">
        <f t="shared" si="19"/>
        <v>1281</v>
      </c>
      <c r="B1284" s="21" t="s">
        <v>3133</v>
      </c>
      <c r="C1284" s="21" t="s">
        <v>3136</v>
      </c>
      <c r="D1284" s="22" t="s">
        <v>3137</v>
      </c>
      <c r="E1284" s="22" t="s">
        <v>24</v>
      </c>
      <c r="F1284" s="22" t="s">
        <v>195</v>
      </c>
      <c r="G1284" s="23">
        <v>35454</v>
      </c>
      <c r="H1284" s="22" t="s">
        <v>35</v>
      </c>
      <c r="I1284" s="22" t="s">
        <v>73</v>
      </c>
      <c r="J1284" s="22" t="s">
        <v>27</v>
      </c>
      <c r="K1284" s="10" t="str">
        <f ca="1">DATEDIF('DATA PENDUDUK'!$G1284,TODAY(),"Y")&amp; " TAHUN"</f>
        <v>28 TAHUN</v>
      </c>
      <c r="L1284" s="24" t="s">
        <v>2910</v>
      </c>
    </row>
    <row r="1285" spans="1:12" ht="20.100000000000001" customHeight="1" x14ac:dyDescent="0.25">
      <c r="A1285" s="8">
        <f t="shared" si="19"/>
        <v>1282</v>
      </c>
      <c r="B1285" s="21" t="s">
        <v>3133</v>
      </c>
      <c r="C1285" s="21" t="s">
        <v>3138</v>
      </c>
      <c r="D1285" s="22" t="s">
        <v>3139</v>
      </c>
      <c r="E1285" s="22" t="s">
        <v>24</v>
      </c>
      <c r="F1285" s="22" t="s">
        <v>195</v>
      </c>
      <c r="G1285" s="23">
        <v>44852</v>
      </c>
      <c r="H1285" s="22" t="s">
        <v>35</v>
      </c>
      <c r="I1285" s="22" t="s">
        <v>40</v>
      </c>
      <c r="J1285" s="22" t="s">
        <v>32</v>
      </c>
      <c r="K1285" s="10" t="str">
        <f ca="1">DATEDIF('DATA PENDUDUK'!$G1285,TODAY(),"Y")&amp; " TAHUN"</f>
        <v>2 TAHUN</v>
      </c>
      <c r="L1285" s="24" t="s">
        <v>2910</v>
      </c>
    </row>
    <row r="1286" spans="1:12" ht="20.100000000000001" customHeight="1" x14ac:dyDescent="0.25">
      <c r="A1286" s="8">
        <f t="shared" ref="A1286:A1349" si="20">IF(D1286="","",ROW()-3)</f>
        <v>1283</v>
      </c>
      <c r="B1286" s="21" t="s">
        <v>3140</v>
      </c>
      <c r="C1286" s="21" t="s">
        <v>3141</v>
      </c>
      <c r="D1286" s="22" t="s">
        <v>3142</v>
      </c>
      <c r="E1286" s="22" t="s">
        <v>16</v>
      </c>
      <c r="F1286" s="22" t="s">
        <v>1378</v>
      </c>
      <c r="G1286" s="23">
        <v>31204</v>
      </c>
      <c r="H1286" s="22" t="s">
        <v>35</v>
      </c>
      <c r="I1286" s="22" t="s">
        <v>2937</v>
      </c>
      <c r="J1286" s="22" t="s">
        <v>20</v>
      </c>
      <c r="K1286" s="10" t="str">
        <f ca="1">DATEDIF('DATA PENDUDUK'!$G1286,TODAY(),"Y")&amp; " TAHUN"</f>
        <v>40 TAHUN</v>
      </c>
      <c r="L1286" s="24" t="s">
        <v>2910</v>
      </c>
    </row>
    <row r="1287" spans="1:12" ht="20.100000000000001" customHeight="1" x14ac:dyDescent="0.25">
      <c r="A1287" s="8">
        <f t="shared" si="20"/>
        <v>1284</v>
      </c>
      <c r="B1287" s="21" t="s">
        <v>3140</v>
      </c>
      <c r="C1287" s="21" t="s">
        <v>3143</v>
      </c>
      <c r="D1287" s="22" t="s">
        <v>3144</v>
      </c>
      <c r="E1287" s="22" t="s">
        <v>24</v>
      </c>
      <c r="F1287" s="22" t="s">
        <v>659</v>
      </c>
      <c r="G1287" s="23">
        <v>34157</v>
      </c>
      <c r="H1287" s="22" t="s">
        <v>35</v>
      </c>
      <c r="I1287" s="22" t="s">
        <v>2598</v>
      </c>
      <c r="J1287" s="22" t="s">
        <v>27</v>
      </c>
      <c r="K1287" s="10" t="str">
        <f ca="1">DATEDIF('DATA PENDUDUK'!$G1287,TODAY(),"Y")&amp; " TAHUN"</f>
        <v>32 TAHUN</v>
      </c>
      <c r="L1287" s="24" t="s">
        <v>2910</v>
      </c>
    </row>
    <row r="1288" spans="1:12" ht="20.100000000000001" customHeight="1" x14ac:dyDescent="0.25">
      <c r="A1288" s="8">
        <f t="shared" si="20"/>
        <v>1285</v>
      </c>
      <c r="B1288" s="21" t="s">
        <v>3140</v>
      </c>
      <c r="C1288" s="21" t="s">
        <v>3145</v>
      </c>
      <c r="D1288" s="22" t="s">
        <v>3146</v>
      </c>
      <c r="E1288" s="22" t="s">
        <v>16</v>
      </c>
      <c r="F1288" s="22" t="s">
        <v>30</v>
      </c>
      <c r="G1288" s="23">
        <v>41899</v>
      </c>
      <c r="H1288" s="22" t="s">
        <v>35</v>
      </c>
      <c r="I1288" s="22" t="s">
        <v>40</v>
      </c>
      <c r="J1288" s="22" t="s">
        <v>32</v>
      </c>
      <c r="K1288" s="10" t="str">
        <f ca="1">DATEDIF('DATA PENDUDUK'!$G1288,TODAY(),"Y")&amp; " TAHUN"</f>
        <v>10 TAHUN</v>
      </c>
      <c r="L1288" s="24" t="s">
        <v>2910</v>
      </c>
    </row>
    <row r="1289" spans="1:12" ht="20.100000000000001" customHeight="1" x14ac:dyDescent="0.25">
      <c r="A1289" s="8">
        <f t="shared" si="20"/>
        <v>1286</v>
      </c>
      <c r="B1289" s="21" t="s">
        <v>3140</v>
      </c>
      <c r="C1289" s="21" t="s">
        <v>3147</v>
      </c>
      <c r="D1289" s="22" t="s">
        <v>3148</v>
      </c>
      <c r="E1289" s="22" t="s">
        <v>24</v>
      </c>
      <c r="F1289" s="22" t="s">
        <v>30</v>
      </c>
      <c r="G1289" s="23">
        <v>43395</v>
      </c>
      <c r="H1289" s="22" t="s">
        <v>35</v>
      </c>
      <c r="I1289" s="22" t="s">
        <v>40</v>
      </c>
      <c r="J1289" s="22" t="s">
        <v>32</v>
      </c>
      <c r="K1289" s="10" t="str">
        <f ca="1">DATEDIF('DATA PENDUDUK'!$G1289,TODAY(),"Y")&amp; " TAHUN"</f>
        <v>6 TAHUN</v>
      </c>
      <c r="L1289" s="24" t="s">
        <v>2910</v>
      </c>
    </row>
    <row r="1290" spans="1:12" ht="20.100000000000001" customHeight="1" x14ac:dyDescent="0.25">
      <c r="A1290" s="8">
        <f t="shared" si="20"/>
        <v>1287</v>
      </c>
      <c r="B1290" s="21" t="s">
        <v>3140</v>
      </c>
      <c r="C1290" s="21" t="s">
        <v>3149</v>
      </c>
      <c r="D1290" s="22" t="s">
        <v>3150</v>
      </c>
      <c r="E1290" s="22" t="s">
        <v>16</v>
      </c>
      <c r="F1290" s="22" t="s">
        <v>30</v>
      </c>
      <c r="G1290" s="23">
        <v>44605</v>
      </c>
      <c r="H1290" s="22" t="s">
        <v>35</v>
      </c>
      <c r="I1290" s="22" t="s">
        <v>40</v>
      </c>
      <c r="J1290" s="22" t="s">
        <v>32</v>
      </c>
      <c r="K1290" s="10" t="str">
        <f ca="1">DATEDIF('DATA PENDUDUK'!$G1290,TODAY(),"Y")&amp; " TAHUN"</f>
        <v>3 TAHUN</v>
      </c>
      <c r="L1290" s="24" t="s">
        <v>2910</v>
      </c>
    </row>
    <row r="1291" spans="1:12" ht="20.100000000000001" customHeight="1" x14ac:dyDescent="0.25">
      <c r="A1291" s="8">
        <f t="shared" si="20"/>
        <v>1288</v>
      </c>
      <c r="B1291" s="21" t="s">
        <v>3151</v>
      </c>
      <c r="C1291" s="21" t="s">
        <v>3152</v>
      </c>
      <c r="D1291" s="22" t="s">
        <v>3153</v>
      </c>
      <c r="E1291" s="22" t="s">
        <v>16</v>
      </c>
      <c r="F1291" s="22" t="s">
        <v>3154</v>
      </c>
      <c r="G1291" s="23">
        <v>32957</v>
      </c>
      <c r="H1291" s="22" t="s">
        <v>35</v>
      </c>
      <c r="I1291" s="22" t="s">
        <v>2937</v>
      </c>
      <c r="J1291" s="22" t="s">
        <v>20</v>
      </c>
      <c r="K1291" s="10" t="str">
        <f ca="1">DATEDIF('DATA PENDUDUK'!$G1291,TODAY(),"Y")&amp; " TAHUN"</f>
        <v>35 TAHUN</v>
      </c>
      <c r="L1291" s="24" t="s">
        <v>2910</v>
      </c>
    </row>
    <row r="1292" spans="1:12" ht="20.100000000000001" customHeight="1" x14ac:dyDescent="0.25">
      <c r="A1292" s="8">
        <f t="shared" si="20"/>
        <v>1289</v>
      </c>
      <c r="B1292" s="21" t="s">
        <v>3151</v>
      </c>
      <c r="C1292" s="21" t="s">
        <v>3155</v>
      </c>
      <c r="D1292" s="22" t="s">
        <v>1385</v>
      </c>
      <c r="E1292" s="22" t="s">
        <v>24</v>
      </c>
      <c r="F1292" s="22" t="s">
        <v>2994</v>
      </c>
      <c r="G1292" s="23">
        <v>33096</v>
      </c>
      <c r="H1292" s="22" t="s">
        <v>35</v>
      </c>
      <c r="I1292" s="22" t="s">
        <v>2598</v>
      </c>
      <c r="J1292" s="22" t="s">
        <v>27</v>
      </c>
      <c r="K1292" s="10" t="str">
        <f ca="1">DATEDIF('DATA PENDUDUK'!$G1292,TODAY(),"Y")&amp; " TAHUN"</f>
        <v>34 TAHUN</v>
      </c>
      <c r="L1292" s="24" t="s">
        <v>2910</v>
      </c>
    </row>
    <row r="1293" spans="1:12" ht="20.100000000000001" customHeight="1" x14ac:dyDescent="0.25">
      <c r="A1293" s="8">
        <f t="shared" si="20"/>
        <v>1290</v>
      </c>
      <c r="B1293" s="21" t="s">
        <v>3151</v>
      </c>
      <c r="C1293" s="21" t="s">
        <v>3156</v>
      </c>
      <c r="D1293" s="22" t="s">
        <v>3157</v>
      </c>
      <c r="E1293" s="22" t="s">
        <v>16</v>
      </c>
      <c r="F1293" s="22" t="s">
        <v>2710</v>
      </c>
      <c r="G1293" s="23">
        <v>42404</v>
      </c>
      <c r="H1293" s="22" t="s">
        <v>35</v>
      </c>
      <c r="I1293" s="22" t="s">
        <v>40</v>
      </c>
      <c r="J1293" s="22" t="s">
        <v>32</v>
      </c>
      <c r="K1293" s="10" t="str">
        <f ca="1">DATEDIF('DATA PENDUDUK'!$G1293,TODAY(),"Y")&amp; " TAHUN"</f>
        <v>9 TAHUN</v>
      </c>
      <c r="L1293" s="24" t="s">
        <v>2910</v>
      </c>
    </row>
    <row r="1294" spans="1:12" ht="20.100000000000001" customHeight="1" x14ac:dyDescent="0.25">
      <c r="A1294" s="8">
        <f t="shared" si="20"/>
        <v>1291</v>
      </c>
      <c r="B1294" s="21" t="s">
        <v>3151</v>
      </c>
      <c r="C1294" s="21" t="s">
        <v>3158</v>
      </c>
      <c r="D1294" s="22" t="s">
        <v>3159</v>
      </c>
      <c r="E1294" s="22" t="s">
        <v>24</v>
      </c>
      <c r="F1294" s="22" t="s">
        <v>3160</v>
      </c>
      <c r="G1294" s="23">
        <v>36902</v>
      </c>
      <c r="H1294" s="22" t="s">
        <v>35</v>
      </c>
      <c r="I1294" s="22" t="s">
        <v>31</v>
      </c>
      <c r="J1294" s="22" t="s">
        <v>37</v>
      </c>
      <c r="K1294" s="10" t="str">
        <f ca="1">DATEDIF('DATA PENDUDUK'!$G1294,TODAY(),"Y")&amp; " TAHUN"</f>
        <v>24 TAHUN</v>
      </c>
      <c r="L1294" s="24" t="s">
        <v>2910</v>
      </c>
    </row>
    <row r="1295" spans="1:12" ht="20.100000000000001" customHeight="1" x14ac:dyDescent="0.25">
      <c r="A1295" s="8">
        <f t="shared" si="20"/>
        <v>1292</v>
      </c>
      <c r="B1295" s="21" t="s">
        <v>3161</v>
      </c>
      <c r="C1295" s="21" t="s">
        <v>3162</v>
      </c>
      <c r="D1295" s="22" t="s">
        <v>3163</v>
      </c>
      <c r="E1295" s="22" t="s">
        <v>16</v>
      </c>
      <c r="F1295" s="22" t="s">
        <v>3164</v>
      </c>
      <c r="G1295" s="23">
        <v>34085</v>
      </c>
      <c r="H1295" s="22" t="s">
        <v>35</v>
      </c>
      <c r="I1295" s="22" t="s">
        <v>2937</v>
      </c>
      <c r="J1295" s="22" t="s">
        <v>20</v>
      </c>
      <c r="K1295" s="10" t="str">
        <f ca="1">DATEDIF('DATA PENDUDUK'!$G1295,TODAY(),"Y")&amp; " TAHUN"</f>
        <v>32 TAHUN</v>
      </c>
      <c r="L1295" s="24" t="s">
        <v>2910</v>
      </c>
    </row>
    <row r="1296" spans="1:12" ht="20.100000000000001" customHeight="1" x14ac:dyDescent="0.25">
      <c r="A1296" s="8">
        <f t="shared" si="20"/>
        <v>1293</v>
      </c>
      <c r="B1296" s="21" t="s">
        <v>3161</v>
      </c>
      <c r="C1296" s="21" t="s">
        <v>3165</v>
      </c>
      <c r="D1296" s="22" t="s">
        <v>3166</v>
      </c>
      <c r="E1296" s="22" t="s">
        <v>24</v>
      </c>
      <c r="F1296" s="22" t="s">
        <v>3164</v>
      </c>
      <c r="G1296" s="23">
        <v>34554</v>
      </c>
      <c r="H1296" s="22" t="s">
        <v>35</v>
      </c>
      <c r="I1296" s="22" t="s">
        <v>73</v>
      </c>
      <c r="J1296" s="22" t="s">
        <v>27</v>
      </c>
      <c r="K1296" s="10" t="str">
        <f ca="1">DATEDIF('DATA PENDUDUK'!$G1296,TODAY(),"Y")&amp; " TAHUN"</f>
        <v>30 TAHUN</v>
      </c>
      <c r="L1296" s="24" t="s">
        <v>2910</v>
      </c>
    </row>
    <row r="1297" spans="1:12" ht="20.100000000000001" customHeight="1" x14ac:dyDescent="0.25">
      <c r="A1297" s="8">
        <f t="shared" si="20"/>
        <v>1294</v>
      </c>
      <c r="B1297" s="21" t="s">
        <v>3167</v>
      </c>
      <c r="C1297" s="21" t="s">
        <v>3168</v>
      </c>
      <c r="D1297" s="22" t="s">
        <v>3169</v>
      </c>
      <c r="E1297" s="22" t="s">
        <v>16</v>
      </c>
      <c r="F1297" s="22" t="s">
        <v>3170</v>
      </c>
      <c r="G1297" s="23">
        <v>34307</v>
      </c>
      <c r="H1297" s="22" t="s">
        <v>35</v>
      </c>
      <c r="I1297" s="22" t="s">
        <v>2937</v>
      </c>
      <c r="J1297" s="22" t="s">
        <v>20</v>
      </c>
      <c r="K1297" s="10" t="str">
        <f ca="1">DATEDIF('DATA PENDUDUK'!$G1297,TODAY(),"Y")&amp; " TAHUN"</f>
        <v>31 TAHUN</v>
      </c>
      <c r="L1297" s="24" t="s">
        <v>2910</v>
      </c>
    </row>
    <row r="1298" spans="1:12" ht="20.100000000000001" customHeight="1" x14ac:dyDescent="0.25">
      <c r="A1298" s="8">
        <f t="shared" si="20"/>
        <v>1295</v>
      </c>
      <c r="B1298" s="21" t="s">
        <v>3167</v>
      </c>
      <c r="C1298" s="21" t="s">
        <v>3171</v>
      </c>
      <c r="D1298" s="22" t="s">
        <v>3172</v>
      </c>
      <c r="E1298" s="22" t="s">
        <v>24</v>
      </c>
      <c r="F1298" s="22" t="s">
        <v>134</v>
      </c>
      <c r="G1298" s="23">
        <v>34251</v>
      </c>
      <c r="H1298" s="22" t="s">
        <v>35</v>
      </c>
      <c r="I1298" s="22" t="s">
        <v>2728</v>
      </c>
      <c r="J1298" s="22" t="s">
        <v>27</v>
      </c>
      <c r="K1298" s="10" t="str">
        <f ca="1">DATEDIF('DATA PENDUDUK'!$G1298,TODAY(),"Y")&amp; " TAHUN"</f>
        <v>31 TAHUN</v>
      </c>
      <c r="L1298" s="24" t="s">
        <v>2910</v>
      </c>
    </row>
    <row r="1299" spans="1:12" ht="20.100000000000001" customHeight="1" x14ac:dyDescent="0.25">
      <c r="A1299" s="8">
        <f t="shared" si="20"/>
        <v>1296</v>
      </c>
      <c r="B1299" s="21" t="s">
        <v>3167</v>
      </c>
      <c r="C1299" s="21" t="s">
        <v>3173</v>
      </c>
      <c r="D1299" s="22" t="s">
        <v>3174</v>
      </c>
      <c r="E1299" s="22" t="s">
        <v>24</v>
      </c>
      <c r="F1299" s="22" t="s">
        <v>30</v>
      </c>
      <c r="G1299" s="23">
        <v>43694</v>
      </c>
      <c r="H1299" s="22" t="s">
        <v>35</v>
      </c>
      <c r="I1299" s="22" t="s">
        <v>40</v>
      </c>
      <c r="J1299" s="22" t="s">
        <v>32</v>
      </c>
      <c r="K1299" s="10" t="str">
        <f ca="1">DATEDIF('DATA PENDUDUK'!$G1299,TODAY(),"Y")&amp; " TAHUN"</f>
        <v>5 TAHUN</v>
      </c>
      <c r="L1299" s="24" t="s">
        <v>2910</v>
      </c>
    </row>
    <row r="1300" spans="1:12" ht="20.100000000000001" customHeight="1" x14ac:dyDescent="0.25">
      <c r="A1300" s="8">
        <f t="shared" si="20"/>
        <v>1297</v>
      </c>
      <c r="B1300" s="21" t="s">
        <v>3167</v>
      </c>
      <c r="C1300" s="21" t="s">
        <v>3175</v>
      </c>
      <c r="D1300" s="22" t="s">
        <v>3176</v>
      </c>
      <c r="E1300" s="22" t="s">
        <v>24</v>
      </c>
      <c r="F1300" s="22" t="s">
        <v>30</v>
      </c>
      <c r="G1300" s="23">
        <v>44788</v>
      </c>
      <c r="H1300" s="22" t="s">
        <v>35</v>
      </c>
      <c r="I1300" s="22" t="s">
        <v>40</v>
      </c>
      <c r="J1300" s="22" t="s">
        <v>32</v>
      </c>
      <c r="K1300" s="10" t="str">
        <f ca="1">DATEDIF('DATA PENDUDUK'!$G1300,TODAY(),"Y")&amp; " TAHUN"</f>
        <v>2 TAHUN</v>
      </c>
      <c r="L1300" s="24" t="s">
        <v>2910</v>
      </c>
    </row>
    <row r="1301" spans="1:12" ht="20.100000000000001" customHeight="1" x14ac:dyDescent="0.25">
      <c r="A1301" s="8">
        <f t="shared" si="20"/>
        <v>1298</v>
      </c>
      <c r="B1301" s="21" t="s">
        <v>3177</v>
      </c>
      <c r="C1301" s="21" t="s">
        <v>3178</v>
      </c>
      <c r="D1301" s="22" t="s">
        <v>3179</v>
      </c>
      <c r="E1301" s="22" t="s">
        <v>16</v>
      </c>
      <c r="F1301" s="22" t="s">
        <v>1591</v>
      </c>
      <c r="G1301" s="23">
        <v>35459</v>
      </c>
      <c r="H1301" s="22" t="s">
        <v>35</v>
      </c>
      <c r="I1301" s="22" t="s">
        <v>2991</v>
      </c>
      <c r="J1301" s="22" t="s">
        <v>20</v>
      </c>
      <c r="K1301" s="10" t="str">
        <f ca="1">DATEDIF('DATA PENDUDUK'!$G1301,TODAY(),"Y")&amp; " TAHUN"</f>
        <v>28 TAHUN</v>
      </c>
      <c r="L1301" s="24" t="s">
        <v>2910</v>
      </c>
    </row>
    <row r="1302" spans="1:12" ht="20.100000000000001" customHeight="1" x14ac:dyDescent="0.25">
      <c r="A1302" s="8">
        <f t="shared" si="20"/>
        <v>1299</v>
      </c>
      <c r="B1302" s="21" t="s">
        <v>3177</v>
      </c>
      <c r="C1302" s="21" t="s">
        <v>3180</v>
      </c>
      <c r="D1302" s="22" t="s">
        <v>3181</v>
      </c>
      <c r="E1302" s="22" t="s">
        <v>24</v>
      </c>
      <c r="F1302" s="22" t="s">
        <v>118</v>
      </c>
      <c r="G1302" s="23">
        <v>35637</v>
      </c>
      <c r="H1302" s="22" t="s">
        <v>35</v>
      </c>
      <c r="I1302" s="22" t="s">
        <v>40</v>
      </c>
      <c r="J1302" s="22" t="s">
        <v>27</v>
      </c>
      <c r="K1302" s="10" t="str">
        <f ca="1">DATEDIF('DATA PENDUDUK'!$G1302,TODAY(),"Y")&amp; " TAHUN"</f>
        <v>27 TAHUN</v>
      </c>
      <c r="L1302" s="24" t="s">
        <v>2910</v>
      </c>
    </row>
    <row r="1303" spans="1:12" ht="20.100000000000001" customHeight="1" x14ac:dyDescent="0.25">
      <c r="A1303" s="8">
        <f t="shared" si="20"/>
        <v>1300</v>
      </c>
      <c r="B1303" s="21" t="s">
        <v>3177</v>
      </c>
      <c r="C1303" s="21" t="s">
        <v>3182</v>
      </c>
      <c r="D1303" s="22" t="s">
        <v>3183</v>
      </c>
      <c r="E1303" s="22" t="s">
        <v>16</v>
      </c>
      <c r="F1303" s="22" t="s">
        <v>30</v>
      </c>
      <c r="G1303" s="23">
        <v>44492</v>
      </c>
      <c r="H1303" s="22" t="s">
        <v>35</v>
      </c>
      <c r="I1303" s="22" t="s">
        <v>40</v>
      </c>
      <c r="J1303" s="22" t="s">
        <v>32</v>
      </c>
      <c r="K1303" s="10" t="str">
        <f ca="1">DATEDIF('DATA PENDUDUK'!$G1303,TODAY(),"Y")&amp; " TAHUN"</f>
        <v>3 TAHUN</v>
      </c>
      <c r="L1303" s="24" t="s">
        <v>2910</v>
      </c>
    </row>
    <row r="1304" spans="1:12" ht="20.100000000000001" customHeight="1" x14ac:dyDescent="0.25">
      <c r="A1304" s="8">
        <f t="shared" si="20"/>
        <v>1301</v>
      </c>
      <c r="B1304" s="21" t="s">
        <v>3184</v>
      </c>
      <c r="C1304" s="21" t="s">
        <v>3185</v>
      </c>
      <c r="D1304" s="22" t="s">
        <v>3186</v>
      </c>
      <c r="E1304" s="22" t="s">
        <v>16</v>
      </c>
      <c r="F1304" s="22" t="s">
        <v>3187</v>
      </c>
      <c r="G1304" s="23">
        <v>31112</v>
      </c>
      <c r="H1304" s="22" t="s">
        <v>18</v>
      </c>
      <c r="I1304" s="22" t="s">
        <v>3188</v>
      </c>
      <c r="J1304" s="22" t="s">
        <v>20</v>
      </c>
      <c r="K1304" s="10" t="str">
        <f ca="1">DATEDIF('DATA PENDUDUK'!$G1304,TODAY(),"Y")&amp; " TAHUN"</f>
        <v>40 TAHUN</v>
      </c>
      <c r="L1304" s="24" t="s">
        <v>2910</v>
      </c>
    </row>
    <row r="1305" spans="1:12" ht="20.100000000000001" customHeight="1" x14ac:dyDescent="0.25">
      <c r="A1305" s="8">
        <f t="shared" si="20"/>
        <v>1302</v>
      </c>
      <c r="B1305" s="21" t="s">
        <v>3184</v>
      </c>
      <c r="C1305" s="21" t="s">
        <v>3189</v>
      </c>
      <c r="D1305" s="22" t="s">
        <v>3190</v>
      </c>
      <c r="E1305" s="22" t="s">
        <v>24</v>
      </c>
      <c r="F1305" s="22" t="s">
        <v>134</v>
      </c>
      <c r="G1305" s="23">
        <v>30674</v>
      </c>
      <c r="H1305" s="22" t="s">
        <v>18</v>
      </c>
      <c r="I1305" s="22" t="s">
        <v>1302</v>
      </c>
      <c r="J1305" s="22" t="s">
        <v>27</v>
      </c>
      <c r="K1305" s="10" t="str">
        <f ca="1">DATEDIF('DATA PENDUDUK'!$G1305,TODAY(),"Y")&amp; " TAHUN"</f>
        <v>41 TAHUN</v>
      </c>
      <c r="L1305" s="24" t="s">
        <v>2910</v>
      </c>
    </row>
    <row r="1306" spans="1:12" ht="20.100000000000001" customHeight="1" x14ac:dyDescent="0.25">
      <c r="A1306" s="8">
        <f t="shared" si="20"/>
        <v>1303</v>
      </c>
      <c r="B1306" s="21" t="s">
        <v>3184</v>
      </c>
      <c r="C1306" s="21" t="s">
        <v>3191</v>
      </c>
      <c r="D1306" s="22" t="s">
        <v>3192</v>
      </c>
      <c r="E1306" s="22" t="s">
        <v>24</v>
      </c>
      <c r="F1306" s="22" t="s">
        <v>30</v>
      </c>
      <c r="G1306" s="23">
        <v>40189</v>
      </c>
      <c r="H1306" s="22" t="s">
        <v>18</v>
      </c>
      <c r="I1306" s="22" t="s">
        <v>40</v>
      </c>
      <c r="J1306" s="22" t="s">
        <v>32</v>
      </c>
      <c r="K1306" s="10" t="str">
        <f ca="1">DATEDIF('DATA PENDUDUK'!$G1306,TODAY(),"Y")&amp; " TAHUN"</f>
        <v>15 TAHUN</v>
      </c>
      <c r="L1306" s="24" t="s">
        <v>2910</v>
      </c>
    </row>
    <row r="1307" spans="1:12" ht="20.100000000000001" customHeight="1" x14ac:dyDescent="0.25">
      <c r="A1307" s="8">
        <f t="shared" si="20"/>
        <v>1304</v>
      </c>
      <c r="B1307" s="21" t="s">
        <v>3193</v>
      </c>
      <c r="C1307" s="21" t="s">
        <v>3194</v>
      </c>
      <c r="D1307" s="22" t="s">
        <v>3195</v>
      </c>
      <c r="E1307" s="22" t="s">
        <v>16</v>
      </c>
      <c r="F1307" s="22" t="s">
        <v>3196</v>
      </c>
      <c r="G1307" s="23">
        <v>35214</v>
      </c>
      <c r="H1307" s="22" t="s">
        <v>471</v>
      </c>
      <c r="I1307" s="22" t="s">
        <v>2937</v>
      </c>
      <c r="J1307" s="22" t="s">
        <v>20</v>
      </c>
      <c r="K1307" s="10" t="str">
        <f ca="1">DATEDIF('DATA PENDUDUK'!$G1307,TODAY(),"Y")&amp; " TAHUN"</f>
        <v>29 TAHUN</v>
      </c>
      <c r="L1307" s="24" t="s">
        <v>2910</v>
      </c>
    </row>
    <row r="1308" spans="1:12" ht="20.100000000000001" customHeight="1" x14ac:dyDescent="0.25">
      <c r="A1308" s="8">
        <f t="shared" si="20"/>
        <v>1305</v>
      </c>
      <c r="B1308" s="21" t="s">
        <v>3193</v>
      </c>
      <c r="C1308" s="21" t="s">
        <v>3197</v>
      </c>
      <c r="D1308" s="22" t="s">
        <v>3198</v>
      </c>
      <c r="E1308" s="22" t="s">
        <v>24</v>
      </c>
      <c r="F1308" s="22" t="s">
        <v>818</v>
      </c>
      <c r="G1308" s="23">
        <v>34379</v>
      </c>
      <c r="H1308" s="22" t="s">
        <v>471</v>
      </c>
      <c r="I1308" s="22" t="s">
        <v>73</v>
      </c>
      <c r="J1308" s="22" t="s">
        <v>27</v>
      </c>
      <c r="K1308" s="10" t="str">
        <f ca="1">DATEDIF('DATA PENDUDUK'!$G1308,TODAY(),"Y")&amp; " TAHUN"</f>
        <v>31 TAHUN</v>
      </c>
      <c r="L1308" s="24" t="s">
        <v>2910</v>
      </c>
    </row>
    <row r="1309" spans="1:12" ht="20.100000000000001" customHeight="1" x14ac:dyDescent="0.25">
      <c r="A1309" s="8">
        <f t="shared" si="20"/>
        <v>1306</v>
      </c>
      <c r="B1309" s="21" t="s">
        <v>3193</v>
      </c>
      <c r="C1309" s="21" t="s">
        <v>3199</v>
      </c>
      <c r="D1309" s="22" t="s">
        <v>3200</v>
      </c>
      <c r="E1309" s="22" t="s">
        <v>16</v>
      </c>
      <c r="F1309" s="22" t="s">
        <v>30</v>
      </c>
      <c r="G1309" s="23">
        <v>43681</v>
      </c>
      <c r="H1309" s="22" t="s">
        <v>471</v>
      </c>
      <c r="I1309" s="22" t="s">
        <v>40</v>
      </c>
      <c r="J1309" s="22" t="s">
        <v>32</v>
      </c>
      <c r="K1309" s="10" t="str">
        <f ca="1">DATEDIF('DATA PENDUDUK'!$G1309,TODAY(),"Y")&amp; " TAHUN"</f>
        <v>5 TAHUN</v>
      </c>
      <c r="L1309" s="24" t="s">
        <v>2910</v>
      </c>
    </row>
    <row r="1310" spans="1:12" ht="20.100000000000001" customHeight="1" x14ac:dyDescent="0.25">
      <c r="A1310" s="8">
        <f t="shared" si="20"/>
        <v>1307</v>
      </c>
      <c r="B1310" s="21" t="s">
        <v>3201</v>
      </c>
      <c r="C1310" s="21" t="s">
        <v>3202</v>
      </c>
      <c r="D1310" s="22" t="s">
        <v>3203</v>
      </c>
      <c r="E1310" s="22" t="s">
        <v>16</v>
      </c>
      <c r="F1310" s="22" t="s">
        <v>3204</v>
      </c>
      <c r="G1310" s="23">
        <v>31020</v>
      </c>
      <c r="H1310" s="22" t="s">
        <v>35</v>
      </c>
      <c r="I1310" s="22" t="s">
        <v>3205</v>
      </c>
      <c r="J1310" s="22" t="s">
        <v>20</v>
      </c>
      <c r="K1310" s="10" t="str">
        <f ca="1">DATEDIF('DATA PENDUDUK'!$G1310,TODAY(),"Y")&amp; " TAHUN"</f>
        <v>40 TAHUN</v>
      </c>
      <c r="L1310" s="24" t="s">
        <v>2910</v>
      </c>
    </row>
    <row r="1311" spans="1:12" ht="20.100000000000001" customHeight="1" x14ac:dyDescent="0.25">
      <c r="A1311" s="8">
        <f t="shared" si="20"/>
        <v>1308</v>
      </c>
      <c r="B1311" s="21" t="s">
        <v>3201</v>
      </c>
      <c r="C1311" s="21" t="s">
        <v>3206</v>
      </c>
      <c r="D1311" s="22" t="s">
        <v>3207</v>
      </c>
      <c r="E1311" s="22" t="s">
        <v>24</v>
      </c>
      <c r="F1311" s="22" t="s">
        <v>3089</v>
      </c>
      <c r="G1311" s="23">
        <v>30060</v>
      </c>
      <c r="H1311" s="22" t="s">
        <v>3208</v>
      </c>
      <c r="I1311" s="22" t="s">
        <v>2598</v>
      </c>
      <c r="J1311" s="22" t="s">
        <v>27</v>
      </c>
      <c r="K1311" s="10" t="str">
        <f ca="1">DATEDIF('DATA PENDUDUK'!$G1311,TODAY(),"Y")&amp; " TAHUN"</f>
        <v>43 TAHUN</v>
      </c>
      <c r="L1311" s="24" t="s">
        <v>2910</v>
      </c>
    </row>
    <row r="1312" spans="1:12" ht="20.100000000000001" customHeight="1" x14ac:dyDescent="0.25">
      <c r="A1312" s="8">
        <f t="shared" si="20"/>
        <v>1309</v>
      </c>
      <c r="B1312" s="21" t="s">
        <v>3201</v>
      </c>
      <c r="C1312" s="21" t="s">
        <v>3209</v>
      </c>
      <c r="D1312" s="22" t="s">
        <v>3210</v>
      </c>
      <c r="E1312" s="22" t="s">
        <v>16</v>
      </c>
      <c r="F1312" s="22" t="s">
        <v>30</v>
      </c>
      <c r="G1312" s="23">
        <v>40861</v>
      </c>
      <c r="H1312" s="22" t="s">
        <v>35</v>
      </c>
      <c r="I1312" s="22" t="s">
        <v>40</v>
      </c>
      <c r="J1312" s="22" t="s">
        <v>32</v>
      </c>
      <c r="K1312" s="10" t="str">
        <f ca="1">DATEDIF('DATA PENDUDUK'!$G1312,TODAY(),"Y")&amp; " TAHUN"</f>
        <v>13 TAHUN</v>
      </c>
      <c r="L1312" s="24" t="s">
        <v>2910</v>
      </c>
    </row>
    <row r="1313" spans="1:12" ht="20.100000000000001" customHeight="1" x14ac:dyDescent="0.25">
      <c r="A1313" s="8">
        <f t="shared" si="20"/>
        <v>1310</v>
      </c>
      <c r="B1313" s="21" t="s">
        <v>3201</v>
      </c>
      <c r="C1313" s="21" t="s">
        <v>3211</v>
      </c>
      <c r="D1313" s="22" t="s">
        <v>3212</v>
      </c>
      <c r="E1313" s="22" t="s">
        <v>24</v>
      </c>
      <c r="F1313" s="22" t="s">
        <v>30</v>
      </c>
      <c r="G1313" s="23">
        <v>44151</v>
      </c>
      <c r="H1313" s="22" t="s">
        <v>35</v>
      </c>
      <c r="I1313" s="22" t="s">
        <v>40</v>
      </c>
      <c r="J1313" s="22" t="s">
        <v>32</v>
      </c>
      <c r="K1313" s="10" t="str">
        <f ca="1">DATEDIF('DATA PENDUDUK'!$G1313,TODAY(),"Y")&amp; " TAHUN"</f>
        <v>4 TAHUN</v>
      </c>
      <c r="L1313" s="24" t="s">
        <v>2910</v>
      </c>
    </row>
    <row r="1314" spans="1:12" ht="20.100000000000001" customHeight="1" x14ac:dyDescent="0.25">
      <c r="A1314" s="8">
        <f t="shared" si="20"/>
        <v>1311</v>
      </c>
      <c r="B1314" s="21" t="s">
        <v>3213</v>
      </c>
      <c r="C1314" s="21" t="s">
        <v>3214</v>
      </c>
      <c r="D1314" s="22" t="s">
        <v>3215</v>
      </c>
      <c r="E1314" s="22" t="s">
        <v>16</v>
      </c>
      <c r="F1314" s="22" t="s">
        <v>336</v>
      </c>
      <c r="G1314" s="23">
        <v>35319</v>
      </c>
      <c r="H1314" s="22" t="s">
        <v>35</v>
      </c>
      <c r="I1314" s="22" t="s">
        <v>2937</v>
      </c>
      <c r="J1314" s="22" t="s">
        <v>20</v>
      </c>
      <c r="K1314" s="10" t="str">
        <f ca="1">DATEDIF('DATA PENDUDUK'!$G1314,TODAY(),"Y")&amp; " TAHUN"</f>
        <v>28 TAHUN</v>
      </c>
      <c r="L1314" s="24" t="s">
        <v>2910</v>
      </c>
    </row>
    <row r="1315" spans="1:12" ht="20.100000000000001" customHeight="1" x14ac:dyDescent="0.25">
      <c r="A1315" s="8">
        <f t="shared" si="20"/>
        <v>1312</v>
      </c>
      <c r="B1315" s="21" t="s">
        <v>3213</v>
      </c>
      <c r="C1315" s="21" t="s">
        <v>3216</v>
      </c>
      <c r="D1315" s="22" t="s">
        <v>3217</v>
      </c>
      <c r="E1315" s="22" t="s">
        <v>24</v>
      </c>
      <c r="F1315" s="22" t="s">
        <v>336</v>
      </c>
      <c r="G1315" s="23">
        <v>34780</v>
      </c>
      <c r="H1315" s="22" t="s">
        <v>35</v>
      </c>
      <c r="I1315" s="22" t="s">
        <v>73</v>
      </c>
      <c r="J1315" s="22" t="s">
        <v>27</v>
      </c>
      <c r="K1315" s="10" t="str">
        <f ca="1">DATEDIF('DATA PENDUDUK'!$G1315,TODAY(),"Y")&amp; " TAHUN"</f>
        <v>30 TAHUN</v>
      </c>
      <c r="L1315" s="24" t="s">
        <v>2910</v>
      </c>
    </row>
    <row r="1316" spans="1:12" ht="20.100000000000001" customHeight="1" x14ac:dyDescent="0.25">
      <c r="A1316" s="8">
        <f t="shared" si="20"/>
        <v>1313</v>
      </c>
      <c r="B1316" s="21" t="s">
        <v>3213</v>
      </c>
      <c r="C1316" s="21" t="s">
        <v>3218</v>
      </c>
      <c r="D1316" s="22" t="s">
        <v>3219</v>
      </c>
      <c r="E1316" s="22" t="s">
        <v>24</v>
      </c>
      <c r="F1316" s="22" t="s">
        <v>1627</v>
      </c>
      <c r="G1316" s="23">
        <v>44223</v>
      </c>
      <c r="H1316" s="22" t="s">
        <v>35</v>
      </c>
      <c r="I1316" s="22" t="s">
        <v>40</v>
      </c>
      <c r="J1316" s="22" t="s">
        <v>32</v>
      </c>
      <c r="K1316" s="10" t="str">
        <f ca="1">DATEDIF('DATA PENDUDUK'!$G1316,TODAY(),"Y")&amp; " TAHUN"</f>
        <v>4 TAHUN</v>
      </c>
      <c r="L1316" s="24" t="s">
        <v>2910</v>
      </c>
    </row>
    <row r="1317" spans="1:12" ht="20.100000000000001" customHeight="1" x14ac:dyDescent="0.25">
      <c r="A1317" s="8">
        <f t="shared" si="20"/>
        <v>1314</v>
      </c>
      <c r="B1317" s="21" t="s">
        <v>3220</v>
      </c>
      <c r="C1317" s="21" t="s">
        <v>3221</v>
      </c>
      <c r="D1317" s="22" t="s">
        <v>3222</v>
      </c>
      <c r="E1317" s="22" t="s">
        <v>16</v>
      </c>
      <c r="F1317" s="22" t="s">
        <v>3223</v>
      </c>
      <c r="G1317" s="23">
        <v>26582</v>
      </c>
      <c r="H1317" s="22" t="s">
        <v>438</v>
      </c>
      <c r="I1317" s="22" t="s">
        <v>3224</v>
      </c>
      <c r="J1317" s="22" t="s">
        <v>20</v>
      </c>
      <c r="K1317" s="10" t="str">
        <f ca="1">DATEDIF('DATA PENDUDUK'!$G1317,TODAY(),"Y")&amp; " TAHUN"</f>
        <v>52 TAHUN</v>
      </c>
      <c r="L1317" s="24" t="s">
        <v>2910</v>
      </c>
    </row>
    <row r="1318" spans="1:12" ht="20.100000000000001" customHeight="1" x14ac:dyDescent="0.25">
      <c r="A1318" s="8">
        <f t="shared" si="20"/>
        <v>1315</v>
      </c>
      <c r="B1318" s="21" t="s">
        <v>3220</v>
      </c>
      <c r="C1318" s="21" t="s">
        <v>3225</v>
      </c>
      <c r="D1318" s="22" t="s">
        <v>3226</v>
      </c>
      <c r="E1318" s="22" t="s">
        <v>24</v>
      </c>
      <c r="F1318" s="22" t="s">
        <v>3089</v>
      </c>
      <c r="G1318" s="23">
        <v>25486</v>
      </c>
      <c r="H1318" s="22" t="s">
        <v>438</v>
      </c>
      <c r="I1318" s="22" t="s">
        <v>2598</v>
      </c>
      <c r="J1318" s="22" t="s">
        <v>27</v>
      </c>
      <c r="K1318" s="10" t="str">
        <f ca="1">DATEDIF('DATA PENDUDUK'!$G1318,TODAY(),"Y")&amp; " TAHUN"</f>
        <v>55 TAHUN</v>
      </c>
      <c r="L1318" s="24" t="s">
        <v>2910</v>
      </c>
    </row>
    <row r="1319" spans="1:12" ht="20.100000000000001" customHeight="1" x14ac:dyDescent="0.25">
      <c r="A1319" s="8">
        <f t="shared" si="20"/>
        <v>1316</v>
      </c>
      <c r="B1319" s="21" t="s">
        <v>3220</v>
      </c>
      <c r="C1319" s="21" t="s">
        <v>3227</v>
      </c>
      <c r="D1319" s="22" t="s">
        <v>3228</v>
      </c>
      <c r="E1319" s="22" t="s">
        <v>16</v>
      </c>
      <c r="F1319" s="22" t="s">
        <v>3223</v>
      </c>
      <c r="G1319" s="23">
        <v>34217</v>
      </c>
      <c r="H1319" s="22" t="s">
        <v>438</v>
      </c>
      <c r="I1319" s="22" t="s">
        <v>40</v>
      </c>
      <c r="J1319" s="22" t="s">
        <v>32</v>
      </c>
      <c r="K1319" s="10" t="str">
        <f ca="1">DATEDIF('DATA PENDUDUK'!$G1319,TODAY(),"Y")&amp; " TAHUN"</f>
        <v>31 TAHUN</v>
      </c>
      <c r="L1319" s="24" t="s">
        <v>2910</v>
      </c>
    </row>
    <row r="1320" spans="1:12" ht="20.100000000000001" customHeight="1" x14ac:dyDescent="0.25">
      <c r="A1320" s="8">
        <f t="shared" si="20"/>
        <v>1317</v>
      </c>
      <c r="B1320" s="21" t="s">
        <v>3220</v>
      </c>
      <c r="C1320" s="21" t="s">
        <v>3229</v>
      </c>
      <c r="D1320" s="22" t="s">
        <v>3230</v>
      </c>
      <c r="E1320" s="22" t="s">
        <v>16</v>
      </c>
      <c r="F1320" s="22" t="s">
        <v>3231</v>
      </c>
      <c r="G1320" s="23">
        <v>35926</v>
      </c>
      <c r="H1320" s="22" t="s">
        <v>438</v>
      </c>
      <c r="I1320" s="22" t="s">
        <v>40</v>
      </c>
      <c r="J1320" s="22" t="s">
        <v>32</v>
      </c>
      <c r="K1320" s="10" t="str">
        <f ca="1">DATEDIF('DATA PENDUDUK'!$G1320,TODAY(),"Y")&amp; " TAHUN"</f>
        <v>27 TAHUN</v>
      </c>
      <c r="L1320" s="24" t="s">
        <v>2910</v>
      </c>
    </row>
    <row r="1321" spans="1:12" ht="20.100000000000001" customHeight="1" x14ac:dyDescent="0.25">
      <c r="A1321" s="8">
        <f t="shared" si="20"/>
        <v>1318</v>
      </c>
      <c r="B1321" s="21" t="s">
        <v>3220</v>
      </c>
      <c r="C1321" s="21" t="s">
        <v>3232</v>
      </c>
      <c r="D1321" s="22" t="s">
        <v>3233</v>
      </c>
      <c r="E1321" s="22" t="s">
        <v>16</v>
      </c>
      <c r="F1321" s="22" t="s">
        <v>3234</v>
      </c>
      <c r="G1321" s="23">
        <v>36651</v>
      </c>
      <c r="H1321" s="22" t="s">
        <v>438</v>
      </c>
      <c r="I1321" s="22" t="s">
        <v>31</v>
      </c>
      <c r="J1321" s="22" t="s">
        <v>32</v>
      </c>
      <c r="K1321" s="10" t="str">
        <f ca="1">DATEDIF('DATA PENDUDUK'!$G1321,TODAY(),"Y")&amp; " TAHUN"</f>
        <v>25 TAHUN</v>
      </c>
      <c r="L1321" s="24" t="s">
        <v>2910</v>
      </c>
    </row>
    <row r="1322" spans="1:12" ht="20.100000000000001" customHeight="1" x14ac:dyDescent="0.25">
      <c r="A1322" s="8">
        <f t="shared" si="20"/>
        <v>1319</v>
      </c>
      <c r="B1322" s="21" t="s">
        <v>3220</v>
      </c>
      <c r="C1322" s="21" t="s">
        <v>3235</v>
      </c>
      <c r="D1322" s="22" t="s">
        <v>3236</v>
      </c>
      <c r="E1322" s="22" t="s">
        <v>24</v>
      </c>
      <c r="F1322" s="22" t="s">
        <v>3234</v>
      </c>
      <c r="G1322" s="23">
        <v>37634</v>
      </c>
      <c r="H1322" s="22" t="s">
        <v>438</v>
      </c>
      <c r="I1322" s="22" t="s">
        <v>31</v>
      </c>
      <c r="J1322" s="22" t="s">
        <v>32</v>
      </c>
      <c r="K1322" s="10" t="str">
        <f ca="1">DATEDIF('DATA PENDUDUK'!$G1322,TODAY(),"Y")&amp; " TAHUN"</f>
        <v>22 TAHUN</v>
      </c>
      <c r="L1322" s="24" t="s">
        <v>2910</v>
      </c>
    </row>
    <row r="1323" spans="1:12" ht="20.100000000000001" customHeight="1" x14ac:dyDescent="0.25">
      <c r="A1323" s="8">
        <f t="shared" si="20"/>
        <v>1320</v>
      </c>
      <c r="B1323" s="21" t="s">
        <v>3220</v>
      </c>
      <c r="C1323" s="21" t="s">
        <v>3237</v>
      </c>
      <c r="D1323" s="22" t="s">
        <v>3238</v>
      </c>
      <c r="E1323" s="22" t="s">
        <v>24</v>
      </c>
      <c r="F1323" s="22" t="s">
        <v>3234</v>
      </c>
      <c r="G1323" s="23">
        <v>38449</v>
      </c>
      <c r="H1323" s="22" t="s">
        <v>438</v>
      </c>
      <c r="I1323" s="22" t="s">
        <v>31</v>
      </c>
      <c r="J1323" s="22" t="s">
        <v>32</v>
      </c>
      <c r="K1323" s="10" t="str">
        <f ca="1">DATEDIF('DATA PENDUDUK'!$G1323,TODAY(),"Y")&amp; " TAHUN"</f>
        <v>20 TAHUN</v>
      </c>
      <c r="L1323" s="24" t="s">
        <v>2910</v>
      </c>
    </row>
    <row r="1324" spans="1:12" ht="20.100000000000001" customHeight="1" x14ac:dyDescent="0.25">
      <c r="A1324" s="8">
        <f t="shared" si="20"/>
        <v>1321</v>
      </c>
      <c r="B1324" s="21" t="s">
        <v>3220</v>
      </c>
      <c r="C1324" s="21" t="s">
        <v>3239</v>
      </c>
      <c r="D1324" s="22" t="s">
        <v>3240</v>
      </c>
      <c r="E1324" s="22" t="s">
        <v>16</v>
      </c>
      <c r="F1324" s="22" t="s">
        <v>110</v>
      </c>
      <c r="G1324" s="23">
        <v>25969</v>
      </c>
      <c r="H1324" s="22" t="s">
        <v>438</v>
      </c>
      <c r="I1324" s="22" t="s">
        <v>73</v>
      </c>
      <c r="J1324" s="22" t="s">
        <v>37</v>
      </c>
      <c r="K1324" s="10" t="str">
        <f ca="1">DATEDIF('DATA PENDUDUK'!$G1324,TODAY(),"Y")&amp; " TAHUN"</f>
        <v>54 TAHUN</v>
      </c>
      <c r="L1324" s="24" t="s">
        <v>2910</v>
      </c>
    </row>
    <row r="1325" spans="1:12" ht="20.100000000000001" customHeight="1" x14ac:dyDescent="0.25">
      <c r="A1325" s="8">
        <f t="shared" si="20"/>
        <v>1322</v>
      </c>
      <c r="B1325" s="21" t="s">
        <v>3241</v>
      </c>
      <c r="C1325" s="21" t="s">
        <v>3242</v>
      </c>
      <c r="D1325" s="22" t="s">
        <v>3243</v>
      </c>
      <c r="E1325" s="22" t="s">
        <v>16</v>
      </c>
      <c r="F1325" s="22" t="s">
        <v>2710</v>
      </c>
      <c r="G1325" s="23">
        <v>33590</v>
      </c>
      <c r="H1325" s="22" t="s">
        <v>35</v>
      </c>
      <c r="I1325" s="22" t="s">
        <v>19</v>
      </c>
      <c r="J1325" s="22" t="s">
        <v>20</v>
      </c>
      <c r="K1325" s="10" t="str">
        <f ca="1">DATEDIF('DATA PENDUDUK'!$G1325,TODAY(),"Y")&amp; " TAHUN"</f>
        <v>33 TAHUN</v>
      </c>
      <c r="L1325" s="24" t="s">
        <v>2910</v>
      </c>
    </row>
    <row r="1326" spans="1:12" ht="20.100000000000001" customHeight="1" x14ac:dyDescent="0.25">
      <c r="A1326" s="8">
        <f t="shared" si="20"/>
        <v>1323</v>
      </c>
      <c r="B1326" s="21" t="s">
        <v>3241</v>
      </c>
      <c r="C1326" s="21" t="s">
        <v>3244</v>
      </c>
      <c r="D1326" s="22" t="s">
        <v>3245</v>
      </c>
      <c r="E1326" s="22" t="s">
        <v>24</v>
      </c>
      <c r="F1326" s="22" t="s">
        <v>3246</v>
      </c>
      <c r="G1326" s="23">
        <v>34881</v>
      </c>
      <c r="H1326" s="22" t="s">
        <v>35</v>
      </c>
      <c r="I1326" s="22" t="s">
        <v>3247</v>
      </c>
      <c r="J1326" s="22" t="s">
        <v>27</v>
      </c>
      <c r="K1326" s="10" t="str">
        <f ca="1">DATEDIF('DATA PENDUDUK'!$G1326,TODAY(),"Y")&amp; " TAHUN"</f>
        <v>30 TAHUN</v>
      </c>
      <c r="L1326" s="24" t="s">
        <v>2910</v>
      </c>
    </row>
    <row r="1327" spans="1:12" ht="20.100000000000001" customHeight="1" x14ac:dyDescent="0.25">
      <c r="A1327" s="8">
        <f t="shared" si="20"/>
        <v>1324</v>
      </c>
      <c r="B1327" s="21" t="s">
        <v>3241</v>
      </c>
      <c r="C1327" s="21" t="s">
        <v>3248</v>
      </c>
      <c r="D1327" s="22" t="s">
        <v>3249</v>
      </c>
      <c r="E1327" s="22" t="s">
        <v>24</v>
      </c>
      <c r="F1327" s="22" t="s">
        <v>30</v>
      </c>
      <c r="G1327" s="23">
        <v>42559</v>
      </c>
      <c r="H1327" s="22" t="s">
        <v>35</v>
      </c>
      <c r="I1327" s="22" t="s">
        <v>40</v>
      </c>
      <c r="J1327" s="22" t="s">
        <v>32</v>
      </c>
      <c r="K1327" s="10" t="str">
        <f ca="1">DATEDIF('DATA PENDUDUK'!$G1327,TODAY(),"Y")&amp; " TAHUN"</f>
        <v>9 TAHUN</v>
      </c>
      <c r="L1327" s="24" t="s">
        <v>2910</v>
      </c>
    </row>
    <row r="1328" spans="1:12" ht="20.100000000000001" customHeight="1" x14ac:dyDescent="0.25">
      <c r="A1328" s="8">
        <f t="shared" si="20"/>
        <v>1325</v>
      </c>
      <c r="B1328" s="21" t="s">
        <v>3241</v>
      </c>
      <c r="C1328" s="21" t="s">
        <v>3250</v>
      </c>
      <c r="D1328" s="22" t="s">
        <v>3251</v>
      </c>
      <c r="E1328" s="22" t="s">
        <v>16</v>
      </c>
      <c r="F1328" s="22" t="s">
        <v>30</v>
      </c>
      <c r="G1328" s="23">
        <v>42943</v>
      </c>
      <c r="H1328" s="22" t="s">
        <v>35</v>
      </c>
      <c r="I1328" s="22" t="s">
        <v>40</v>
      </c>
      <c r="J1328" s="22" t="s">
        <v>32</v>
      </c>
      <c r="K1328" s="10" t="str">
        <f ca="1">DATEDIF('DATA PENDUDUK'!$G1328,TODAY(),"Y")&amp; " TAHUN"</f>
        <v>7 TAHUN</v>
      </c>
      <c r="L1328" s="24" t="s">
        <v>2910</v>
      </c>
    </row>
    <row r="1329" spans="1:12" ht="20.100000000000001" customHeight="1" x14ac:dyDescent="0.25">
      <c r="A1329" s="8">
        <f t="shared" si="20"/>
        <v>1326</v>
      </c>
      <c r="B1329" s="21" t="s">
        <v>3252</v>
      </c>
      <c r="C1329" s="21" t="s">
        <v>3253</v>
      </c>
      <c r="D1329" s="22" t="s">
        <v>302</v>
      </c>
      <c r="E1329" s="22" t="s">
        <v>16</v>
      </c>
      <c r="F1329" s="22" t="s">
        <v>1591</v>
      </c>
      <c r="G1329" s="23">
        <v>34058</v>
      </c>
      <c r="H1329" s="22" t="s">
        <v>35</v>
      </c>
      <c r="I1329" s="22" t="s">
        <v>2937</v>
      </c>
      <c r="J1329" s="22" t="s">
        <v>20</v>
      </c>
      <c r="K1329" s="10" t="str">
        <f ca="1">DATEDIF('DATA PENDUDUK'!$G1329,TODAY(),"Y")&amp; " TAHUN"</f>
        <v>32 TAHUN</v>
      </c>
      <c r="L1329" s="24" t="s">
        <v>2910</v>
      </c>
    </row>
    <row r="1330" spans="1:12" ht="20.100000000000001" customHeight="1" x14ac:dyDescent="0.25">
      <c r="A1330" s="8">
        <f t="shared" si="20"/>
        <v>1327</v>
      </c>
      <c r="B1330" s="21" t="s">
        <v>3252</v>
      </c>
      <c r="C1330" s="21" t="s">
        <v>3254</v>
      </c>
      <c r="D1330" s="22" t="s">
        <v>3255</v>
      </c>
      <c r="E1330" s="22" t="s">
        <v>24</v>
      </c>
      <c r="F1330" s="22" t="s">
        <v>79</v>
      </c>
      <c r="G1330" s="23">
        <v>33985</v>
      </c>
      <c r="H1330" s="22" t="s">
        <v>35</v>
      </c>
      <c r="I1330" s="22" t="s">
        <v>3256</v>
      </c>
      <c r="J1330" s="22" t="s">
        <v>27</v>
      </c>
      <c r="K1330" s="10" t="str">
        <f ca="1">DATEDIF('DATA PENDUDUK'!$G1330,TODAY(),"Y")&amp; " TAHUN"</f>
        <v>32 TAHUN</v>
      </c>
      <c r="L1330" s="24" t="s">
        <v>2910</v>
      </c>
    </row>
    <row r="1331" spans="1:12" ht="20.100000000000001" customHeight="1" x14ac:dyDescent="0.25">
      <c r="A1331" s="8">
        <f t="shared" si="20"/>
        <v>1328</v>
      </c>
      <c r="B1331" s="21" t="s">
        <v>3252</v>
      </c>
      <c r="C1331" s="21" t="s">
        <v>3257</v>
      </c>
      <c r="D1331" s="22" t="s">
        <v>3258</v>
      </c>
      <c r="E1331" s="22" t="s">
        <v>24</v>
      </c>
      <c r="F1331" s="22" t="s">
        <v>629</v>
      </c>
      <c r="G1331" s="23">
        <v>44532</v>
      </c>
      <c r="H1331" s="22" t="s">
        <v>35</v>
      </c>
      <c r="I1331" s="22" t="s">
        <v>40</v>
      </c>
      <c r="J1331" s="22" t="s">
        <v>32</v>
      </c>
      <c r="K1331" s="10" t="str">
        <f ca="1">DATEDIF('DATA PENDUDUK'!$G1331,TODAY(),"Y")&amp; " TAHUN"</f>
        <v>3 TAHUN</v>
      </c>
      <c r="L1331" s="24" t="s">
        <v>2910</v>
      </c>
    </row>
    <row r="1332" spans="1:12" ht="20.100000000000001" customHeight="1" x14ac:dyDescent="0.25">
      <c r="A1332" s="8">
        <f t="shared" si="20"/>
        <v>1329</v>
      </c>
      <c r="B1332" s="21" t="s">
        <v>3259</v>
      </c>
      <c r="C1332" s="21" t="s">
        <v>3260</v>
      </c>
      <c r="D1332" s="22" t="s">
        <v>3261</v>
      </c>
      <c r="E1332" s="22" t="s">
        <v>16</v>
      </c>
      <c r="F1332" s="22" t="s">
        <v>158</v>
      </c>
      <c r="G1332" s="23">
        <v>32858</v>
      </c>
      <c r="H1332" s="22" t="s">
        <v>438</v>
      </c>
      <c r="I1332" s="22" t="s">
        <v>2937</v>
      </c>
      <c r="J1332" s="22" t="s">
        <v>20</v>
      </c>
      <c r="K1332" s="10" t="str">
        <f ca="1">DATEDIF('DATA PENDUDUK'!$G1332,TODAY(),"Y")&amp; " TAHUN"</f>
        <v>35 TAHUN</v>
      </c>
      <c r="L1332" s="24" t="s">
        <v>2910</v>
      </c>
    </row>
    <row r="1333" spans="1:12" ht="20.100000000000001" customHeight="1" x14ac:dyDescent="0.25">
      <c r="A1333" s="8">
        <f t="shared" si="20"/>
        <v>1330</v>
      </c>
      <c r="B1333" s="24" t="s">
        <v>3259</v>
      </c>
      <c r="C1333" s="21" t="s">
        <v>3262</v>
      </c>
      <c r="D1333" s="22" t="s">
        <v>3263</v>
      </c>
      <c r="E1333" s="22" t="s">
        <v>24</v>
      </c>
      <c r="F1333" s="22" t="s">
        <v>30</v>
      </c>
      <c r="G1333" s="23">
        <v>34659</v>
      </c>
      <c r="H1333" s="22" t="s">
        <v>438</v>
      </c>
      <c r="I1333" s="22" t="s">
        <v>2598</v>
      </c>
      <c r="J1333" s="22" t="s">
        <v>27</v>
      </c>
      <c r="K1333" s="10" t="str">
        <f ca="1">DATEDIF('DATA PENDUDUK'!$G1333,TODAY(),"Y")&amp; " TAHUN"</f>
        <v>30 TAHUN</v>
      </c>
      <c r="L1333" s="24" t="s">
        <v>2910</v>
      </c>
    </row>
    <row r="1334" spans="1:12" ht="20.100000000000001" customHeight="1" x14ac:dyDescent="0.25">
      <c r="A1334" s="8" t="str">
        <f t="shared" si="20"/>
        <v/>
      </c>
      <c r="B1334" s="24" t="s">
        <v>3259</v>
      </c>
      <c r="C1334" s="21" t="s">
        <v>3264</v>
      </c>
      <c r="D1334" s="22"/>
      <c r="E1334" s="22" t="s">
        <v>24</v>
      </c>
      <c r="F1334" s="22" t="s">
        <v>30</v>
      </c>
      <c r="G1334" s="23">
        <v>44762</v>
      </c>
      <c r="H1334" s="22" t="s">
        <v>438</v>
      </c>
      <c r="I1334" s="22" t="s">
        <v>40</v>
      </c>
      <c r="J1334" s="22" t="s">
        <v>32</v>
      </c>
      <c r="K1334" s="10" t="str">
        <f ca="1">DATEDIF('DATA PENDUDUK'!$G1334,TODAY(),"Y")&amp; " TAHUN"</f>
        <v>3 TAHUN</v>
      </c>
      <c r="L1334" s="24" t="s">
        <v>2910</v>
      </c>
    </row>
    <row r="1335" spans="1:12" ht="20.100000000000001" customHeight="1" x14ac:dyDescent="0.25">
      <c r="A1335" s="8">
        <f t="shared" si="20"/>
        <v>1332</v>
      </c>
      <c r="B1335" s="21" t="s">
        <v>3265</v>
      </c>
      <c r="C1335" s="21" t="s">
        <v>3266</v>
      </c>
      <c r="D1335" s="22" t="s">
        <v>3267</v>
      </c>
      <c r="E1335" s="22" t="s">
        <v>16</v>
      </c>
      <c r="F1335" s="22" t="s">
        <v>3268</v>
      </c>
      <c r="G1335" s="23">
        <v>34116</v>
      </c>
      <c r="H1335" s="22" t="s">
        <v>35</v>
      </c>
      <c r="I1335" s="22" t="s">
        <v>2937</v>
      </c>
      <c r="J1335" s="22" t="s">
        <v>20</v>
      </c>
      <c r="K1335" s="10" t="str">
        <f ca="1">DATEDIF('DATA PENDUDUK'!$G1335,TODAY(),"Y")&amp; " TAHUN"</f>
        <v>32 TAHUN</v>
      </c>
      <c r="L1335" s="24" t="s">
        <v>2910</v>
      </c>
    </row>
    <row r="1336" spans="1:12" ht="20.100000000000001" customHeight="1" x14ac:dyDescent="0.25">
      <c r="A1336" s="8">
        <f t="shared" si="20"/>
        <v>1333</v>
      </c>
      <c r="B1336" s="21" t="s">
        <v>3265</v>
      </c>
      <c r="C1336" s="21" t="s">
        <v>3269</v>
      </c>
      <c r="D1336" s="22" t="s">
        <v>3270</v>
      </c>
      <c r="E1336" s="22" t="s">
        <v>24</v>
      </c>
      <c r="F1336" s="22" t="s">
        <v>2969</v>
      </c>
      <c r="G1336" s="23">
        <v>34571</v>
      </c>
      <c r="H1336" s="22" t="s">
        <v>35</v>
      </c>
      <c r="I1336" s="22" t="s">
        <v>3271</v>
      </c>
      <c r="J1336" s="22" t="s">
        <v>27</v>
      </c>
      <c r="K1336" s="10" t="str">
        <f ca="1">DATEDIF('DATA PENDUDUK'!$G1336,TODAY(),"Y")&amp; " TAHUN"</f>
        <v>30 TAHUN</v>
      </c>
      <c r="L1336" s="24" t="s">
        <v>2910</v>
      </c>
    </row>
    <row r="1337" spans="1:12" ht="20.100000000000001" customHeight="1" x14ac:dyDescent="0.25">
      <c r="A1337" s="8">
        <f t="shared" si="20"/>
        <v>1334</v>
      </c>
      <c r="B1337" s="21" t="s">
        <v>3265</v>
      </c>
      <c r="C1337" s="21" t="s">
        <v>3272</v>
      </c>
      <c r="D1337" s="22" t="s">
        <v>3273</v>
      </c>
      <c r="E1337" s="22" t="s">
        <v>16</v>
      </c>
      <c r="F1337" s="22" t="s">
        <v>3268</v>
      </c>
      <c r="G1337" s="23">
        <v>44814</v>
      </c>
      <c r="H1337" s="22" t="s">
        <v>35</v>
      </c>
      <c r="I1337" s="22" t="s">
        <v>40</v>
      </c>
      <c r="J1337" s="22" t="s">
        <v>32</v>
      </c>
      <c r="K1337" s="10" t="str">
        <f ca="1">DATEDIF('DATA PENDUDUK'!$G1337,TODAY(),"Y")&amp; " TAHUN"</f>
        <v>2 TAHUN</v>
      </c>
      <c r="L1337" s="24" t="s">
        <v>2910</v>
      </c>
    </row>
    <row r="1338" spans="1:12" ht="20.100000000000001" customHeight="1" x14ac:dyDescent="0.25">
      <c r="A1338" s="8">
        <f t="shared" si="20"/>
        <v>1335</v>
      </c>
      <c r="B1338" s="21" t="s">
        <v>3274</v>
      </c>
      <c r="C1338" s="21" t="s">
        <v>3275</v>
      </c>
      <c r="D1338" s="22" t="s">
        <v>3276</v>
      </c>
      <c r="E1338" s="22" t="s">
        <v>16</v>
      </c>
      <c r="F1338" s="22" t="s">
        <v>1523</v>
      </c>
      <c r="G1338" s="23">
        <v>32977</v>
      </c>
      <c r="H1338" s="22" t="s">
        <v>35</v>
      </c>
      <c r="I1338" s="22" t="s">
        <v>2991</v>
      </c>
      <c r="J1338" s="22" t="s">
        <v>20</v>
      </c>
      <c r="K1338" s="10" t="str">
        <f ca="1">DATEDIF('DATA PENDUDUK'!$G1338,TODAY(),"Y")&amp; " TAHUN"</f>
        <v>35 TAHUN</v>
      </c>
      <c r="L1338" s="24" t="s">
        <v>2910</v>
      </c>
    </row>
    <row r="1339" spans="1:12" ht="20.100000000000001" customHeight="1" x14ac:dyDescent="0.25">
      <c r="A1339" s="8">
        <f t="shared" si="20"/>
        <v>1336</v>
      </c>
      <c r="B1339" s="24" t="s">
        <v>3274</v>
      </c>
      <c r="C1339" s="21" t="s">
        <v>3277</v>
      </c>
      <c r="D1339" s="22" t="s">
        <v>3278</v>
      </c>
      <c r="E1339" s="22" t="s">
        <v>24</v>
      </c>
      <c r="F1339" s="22" t="s">
        <v>3279</v>
      </c>
      <c r="G1339" s="23">
        <v>35672</v>
      </c>
      <c r="H1339" s="22" t="s">
        <v>35</v>
      </c>
      <c r="I1339" s="22" t="s">
        <v>2598</v>
      </c>
      <c r="J1339" s="22" t="s">
        <v>27</v>
      </c>
      <c r="K1339" s="10" t="str">
        <f ca="1">DATEDIF('DATA PENDUDUK'!$G1339,TODAY(),"Y")&amp; " TAHUN"</f>
        <v>27 TAHUN</v>
      </c>
      <c r="L1339" s="24" t="s">
        <v>2910</v>
      </c>
    </row>
    <row r="1340" spans="1:12" ht="20.100000000000001" customHeight="1" x14ac:dyDescent="0.25">
      <c r="A1340" s="8">
        <f t="shared" si="20"/>
        <v>1337</v>
      </c>
      <c r="B1340" s="24" t="s">
        <v>3274</v>
      </c>
      <c r="C1340" s="21" t="s">
        <v>3280</v>
      </c>
      <c r="D1340" s="22" t="s">
        <v>3281</v>
      </c>
      <c r="E1340" s="22" t="s">
        <v>16</v>
      </c>
      <c r="F1340" s="22" t="s">
        <v>30</v>
      </c>
      <c r="G1340" s="23">
        <v>43233</v>
      </c>
      <c r="H1340" s="22" t="s">
        <v>35</v>
      </c>
      <c r="I1340" s="22" t="s">
        <v>40</v>
      </c>
      <c r="J1340" s="22" t="s">
        <v>32</v>
      </c>
      <c r="K1340" s="10" t="str">
        <f ca="1">DATEDIF('DATA PENDUDUK'!$G1340,TODAY(),"Y")&amp; " TAHUN"</f>
        <v>7 TAHUN</v>
      </c>
      <c r="L1340" s="24" t="s">
        <v>2910</v>
      </c>
    </row>
    <row r="1341" spans="1:12" ht="20.100000000000001" customHeight="1" x14ac:dyDescent="0.25">
      <c r="A1341" s="8">
        <f t="shared" si="20"/>
        <v>1338</v>
      </c>
      <c r="B1341" s="24" t="s">
        <v>3274</v>
      </c>
      <c r="C1341" s="21" t="s">
        <v>3282</v>
      </c>
      <c r="D1341" s="22" t="s">
        <v>3283</v>
      </c>
      <c r="E1341" s="22" t="s">
        <v>24</v>
      </c>
      <c r="F1341" s="22" t="s">
        <v>30</v>
      </c>
      <c r="G1341" s="23">
        <v>44321</v>
      </c>
      <c r="H1341" s="22" t="s">
        <v>35</v>
      </c>
      <c r="I1341" s="22" t="s">
        <v>40</v>
      </c>
      <c r="J1341" s="22" t="s">
        <v>32</v>
      </c>
      <c r="K1341" s="10" t="str">
        <f ca="1">DATEDIF('DATA PENDUDUK'!$G1341,TODAY(),"Y")&amp; " TAHUN"</f>
        <v>4 TAHUN</v>
      </c>
      <c r="L1341" s="24" t="s">
        <v>2910</v>
      </c>
    </row>
    <row r="1342" spans="1:12" ht="20.100000000000001" customHeight="1" x14ac:dyDescent="0.25">
      <c r="A1342" s="8">
        <f t="shared" si="20"/>
        <v>1339</v>
      </c>
      <c r="B1342" s="21" t="s">
        <v>3284</v>
      </c>
      <c r="C1342" s="21" t="s">
        <v>3285</v>
      </c>
      <c r="D1342" s="22" t="s">
        <v>3082</v>
      </c>
      <c r="E1342" s="22" t="s">
        <v>16</v>
      </c>
      <c r="F1342" s="22" t="s">
        <v>3286</v>
      </c>
      <c r="G1342" s="23">
        <v>27926</v>
      </c>
      <c r="H1342" s="22" t="s">
        <v>35</v>
      </c>
      <c r="I1342" s="22" t="s">
        <v>2593</v>
      </c>
      <c r="J1342" s="22" t="s">
        <v>20</v>
      </c>
      <c r="K1342" s="10" t="str">
        <f ca="1">DATEDIF('DATA PENDUDUK'!$G1342,TODAY(),"Y")&amp; " TAHUN"</f>
        <v>49 TAHUN</v>
      </c>
      <c r="L1342" s="24" t="s">
        <v>2910</v>
      </c>
    </row>
    <row r="1343" spans="1:12" ht="20.100000000000001" customHeight="1" x14ac:dyDescent="0.25">
      <c r="A1343" s="8">
        <f t="shared" si="20"/>
        <v>1340</v>
      </c>
      <c r="B1343" s="21" t="s">
        <v>3284</v>
      </c>
      <c r="C1343" s="21" t="s">
        <v>3287</v>
      </c>
      <c r="D1343" s="22" t="s">
        <v>3288</v>
      </c>
      <c r="E1343" s="22" t="s">
        <v>24</v>
      </c>
      <c r="F1343" s="22" t="s">
        <v>3289</v>
      </c>
      <c r="G1343" s="23">
        <v>30152</v>
      </c>
      <c r="H1343" s="22" t="s">
        <v>35</v>
      </c>
      <c r="I1343" s="22" t="s">
        <v>2598</v>
      </c>
      <c r="J1343" s="22" t="s">
        <v>27</v>
      </c>
      <c r="K1343" s="10" t="str">
        <f ca="1">DATEDIF('DATA PENDUDUK'!$G1343,TODAY(),"Y")&amp; " TAHUN"</f>
        <v>43 TAHUN</v>
      </c>
      <c r="L1343" s="24" t="s">
        <v>2910</v>
      </c>
    </row>
    <row r="1344" spans="1:12" ht="20.100000000000001" customHeight="1" x14ac:dyDescent="0.25">
      <c r="A1344" s="8">
        <f t="shared" si="20"/>
        <v>1341</v>
      </c>
      <c r="B1344" s="21" t="s">
        <v>3284</v>
      </c>
      <c r="C1344" s="21" t="s">
        <v>3290</v>
      </c>
      <c r="D1344" s="22" t="s">
        <v>3291</v>
      </c>
      <c r="E1344" s="22" t="s">
        <v>16</v>
      </c>
      <c r="F1344" s="22" t="s">
        <v>30</v>
      </c>
      <c r="G1344" s="23">
        <v>37960</v>
      </c>
      <c r="H1344" s="26" t="s">
        <v>35</v>
      </c>
      <c r="I1344" s="22" t="s">
        <v>31</v>
      </c>
      <c r="J1344" s="22" t="s">
        <v>32</v>
      </c>
      <c r="K1344" s="10" t="str">
        <f ca="1">DATEDIF('DATA PENDUDUK'!$G1344,TODAY(),"Y")&amp; " TAHUN"</f>
        <v>21 TAHUN</v>
      </c>
      <c r="L1344" s="24" t="s">
        <v>2910</v>
      </c>
    </row>
    <row r="1345" spans="1:12" ht="20.100000000000001" customHeight="1" x14ac:dyDescent="0.25">
      <c r="A1345" s="8">
        <f t="shared" si="20"/>
        <v>1342</v>
      </c>
      <c r="B1345" s="21" t="s">
        <v>3284</v>
      </c>
      <c r="C1345" s="21" t="s">
        <v>3292</v>
      </c>
      <c r="D1345" s="22" t="s">
        <v>3293</v>
      </c>
      <c r="E1345" s="22" t="s">
        <v>16</v>
      </c>
      <c r="F1345" s="22" t="s">
        <v>30</v>
      </c>
      <c r="G1345" s="23">
        <v>41092</v>
      </c>
      <c r="H1345" s="26" t="s">
        <v>35</v>
      </c>
      <c r="I1345" s="22" t="s">
        <v>40</v>
      </c>
      <c r="J1345" s="22" t="s">
        <v>32</v>
      </c>
      <c r="K1345" s="10" t="str">
        <f ca="1">DATEDIF('DATA PENDUDUK'!$G1345,TODAY(),"Y")&amp; " TAHUN"</f>
        <v>13 TAHUN</v>
      </c>
      <c r="L1345" s="24" t="s">
        <v>2910</v>
      </c>
    </row>
    <row r="1346" spans="1:12" ht="20.100000000000001" customHeight="1" x14ac:dyDescent="0.25">
      <c r="A1346" s="8">
        <f t="shared" si="20"/>
        <v>1343</v>
      </c>
      <c r="B1346" s="21" t="s">
        <v>3294</v>
      </c>
      <c r="C1346" s="21" t="s">
        <v>3295</v>
      </c>
      <c r="D1346" s="22" t="s">
        <v>3296</v>
      </c>
      <c r="E1346" s="22" t="s">
        <v>16</v>
      </c>
      <c r="F1346" s="22" t="s">
        <v>3289</v>
      </c>
      <c r="G1346" s="23">
        <v>28982</v>
      </c>
      <c r="H1346" s="22" t="s">
        <v>35</v>
      </c>
      <c r="I1346" s="22" t="s">
        <v>19</v>
      </c>
      <c r="J1346" s="22" t="s">
        <v>20</v>
      </c>
      <c r="K1346" s="10" t="str">
        <f ca="1">DATEDIF('DATA PENDUDUK'!$G1346,TODAY(),"Y")&amp; " TAHUN"</f>
        <v>46 TAHUN</v>
      </c>
      <c r="L1346" s="24" t="s">
        <v>2910</v>
      </c>
    </row>
    <row r="1347" spans="1:12" ht="20.100000000000001" customHeight="1" x14ac:dyDescent="0.25">
      <c r="A1347" s="8">
        <f t="shared" si="20"/>
        <v>1344</v>
      </c>
      <c r="B1347" s="21" t="s">
        <v>3294</v>
      </c>
      <c r="C1347" s="21" t="s">
        <v>3297</v>
      </c>
      <c r="D1347" s="22" t="s">
        <v>3298</v>
      </c>
      <c r="E1347" s="22" t="s">
        <v>24</v>
      </c>
      <c r="F1347" s="22" t="s">
        <v>560</v>
      </c>
      <c r="G1347" s="23">
        <v>34658</v>
      </c>
      <c r="H1347" s="22" t="s">
        <v>35</v>
      </c>
      <c r="I1347" s="22" t="s">
        <v>2598</v>
      </c>
      <c r="J1347" s="22" t="s">
        <v>27</v>
      </c>
      <c r="K1347" s="10" t="str">
        <f ca="1">DATEDIF('DATA PENDUDUK'!$G1347,TODAY(),"Y")&amp; " TAHUN"</f>
        <v>30 TAHUN</v>
      </c>
      <c r="L1347" s="24" t="s">
        <v>2910</v>
      </c>
    </row>
    <row r="1348" spans="1:12" ht="20.100000000000001" customHeight="1" x14ac:dyDescent="0.25">
      <c r="A1348" s="8">
        <f t="shared" si="20"/>
        <v>1345</v>
      </c>
      <c r="B1348" s="21" t="s">
        <v>3294</v>
      </c>
      <c r="C1348" s="21" t="s">
        <v>3299</v>
      </c>
      <c r="D1348" s="22" t="s">
        <v>2747</v>
      </c>
      <c r="E1348" s="22" t="s">
        <v>24</v>
      </c>
      <c r="F1348" s="22" t="s">
        <v>3300</v>
      </c>
      <c r="G1348" s="23">
        <v>39458</v>
      </c>
      <c r="H1348" s="22" t="s">
        <v>35</v>
      </c>
      <c r="I1348" s="22" t="s">
        <v>31</v>
      </c>
      <c r="J1348" s="22" t="s">
        <v>32</v>
      </c>
      <c r="K1348" s="10" t="str">
        <f ca="1">DATEDIF('DATA PENDUDUK'!$G1348,TODAY(),"Y")&amp; " TAHUN"</f>
        <v>17 TAHUN</v>
      </c>
      <c r="L1348" s="24" t="s">
        <v>2910</v>
      </c>
    </row>
    <row r="1349" spans="1:12" ht="20.100000000000001" customHeight="1" x14ac:dyDescent="0.25">
      <c r="A1349" s="8">
        <f t="shared" si="20"/>
        <v>1346</v>
      </c>
      <c r="B1349" s="21" t="s">
        <v>3301</v>
      </c>
      <c r="C1349" s="21" t="s">
        <v>3302</v>
      </c>
      <c r="D1349" s="22" t="s">
        <v>3303</v>
      </c>
      <c r="E1349" s="22" t="s">
        <v>3304</v>
      </c>
      <c r="F1349" s="22" t="s">
        <v>134</v>
      </c>
      <c r="G1349" s="23">
        <v>31612</v>
      </c>
      <c r="H1349" s="22" t="s">
        <v>35</v>
      </c>
      <c r="I1349" s="22" t="s">
        <v>3305</v>
      </c>
      <c r="J1349" s="22" t="s">
        <v>20</v>
      </c>
      <c r="K1349" s="10" t="str">
        <f ca="1">DATEDIF('DATA PENDUDUK'!$G1349,TODAY(),"Y")&amp; " TAHUN"</f>
        <v>39 TAHUN</v>
      </c>
      <c r="L1349" s="24" t="s">
        <v>2910</v>
      </c>
    </row>
    <row r="1350" spans="1:12" ht="20.100000000000001" customHeight="1" x14ac:dyDescent="0.25">
      <c r="A1350" s="8">
        <f t="shared" ref="A1350:A1413" si="21">IF(D1350="","",ROW()-3)</f>
        <v>1347</v>
      </c>
      <c r="B1350" s="21" t="s">
        <v>3301</v>
      </c>
      <c r="C1350" s="21" t="s">
        <v>3306</v>
      </c>
      <c r="D1350" s="22" t="s">
        <v>3307</v>
      </c>
      <c r="E1350" s="22" t="s">
        <v>24</v>
      </c>
      <c r="F1350" s="22" t="s">
        <v>3308</v>
      </c>
      <c r="G1350" s="23">
        <v>165</v>
      </c>
      <c r="H1350" s="22" t="s">
        <v>35</v>
      </c>
      <c r="I1350" s="22" t="s">
        <v>2598</v>
      </c>
      <c r="J1350" s="22" t="s">
        <v>27</v>
      </c>
      <c r="K1350" s="10" t="str">
        <f ca="1">DATEDIF('DATA PENDUDUK'!$G1350,TODAY(),"Y")&amp; " TAHUN"</f>
        <v>125 TAHUN</v>
      </c>
      <c r="L1350" s="24" t="s">
        <v>2910</v>
      </c>
    </row>
    <row r="1351" spans="1:12" ht="20.100000000000001" customHeight="1" x14ac:dyDescent="0.25">
      <c r="A1351" s="8">
        <f t="shared" si="21"/>
        <v>1348</v>
      </c>
      <c r="B1351" s="21" t="s">
        <v>3301</v>
      </c>
      <c r="C1351" s="21" t="s">
        <v>3309</v>
      </c>
      <c r="D1351" s="22" t="s">
        <v>3310</v>
      </c>
      <c r="E1351" s="22" t="s">
        <v>24</v>
      </c>
      <c r="F1351" s="22" t="s">
        <v>30</v>
      </c>
      <c r="G1351" s="23">
        <v>40665</v>
      </c>
      <c r="H1351" s="22" t="s">
        <v>35</v>
      </c>
      <c r="I1351" s="22" t="s">
        <v>40</v>
      </c>
      <c r="J1351" s="22" t="s">
        <v>32</v>
      </c>
      <c r="K1351" s="10" t="str">
        <f ca="1">DATEDIF('DATA PENDUDUK'!$G1351,TODAY(),"Y")&amp; " TAHUN"</f>
        <v>14 TAHUN</v>
      </c>
      <c r="L1351" s="24" t="s">
        <v>2910</v>
      </c>
    </row>
    <row r="1352" spans="1:12" ht="20.100000000000001" customHeight="1" x14ac:dyDescent="0.25">
      <c r="A1352" s="8">
        <f t="shared" si="21"/>
        <v>1349</v>
      </c>
      <c r="B1352" s="21" t="s">
        <v>3301</v>
      </c>
      <c r="C1352" s="21" t="s">
        <v>3311</v>
      </c>
      <c r="D1352" s="22" t="s">
        <v>3312</v>
      </c>
      <c r="E1352" s="22" t="s">
        <v>24</v>
      </c>
      <c r="F1352" s="22" t="s">
        <v>30</v>
      </c>
      <c r="G1352" s="23">
        <v>41540</v>
      </c>
      <c r="H1352" s="22" t="s">
        <v>35</v>
      </c>
      <c r="I1352" s="22" t="s">
        <v>40</v>
      </c>
      <c r="J1352" s="22" t="s">
        <v>32</v>
      </c>
      <c r="K1352" s="10" t="str">
        <f ca="1">DATEDIF('DATA PENDUDUK'!$G1352,TODAY(),"Y")&amp; " TAHUN"</f>
        <v>11 TAHUN</v>
      </c>
      <c r="L1352" s="24" t="s">
        <v>2910</v>
      </c>
    </row>
    <row r="1353" spans="1:12" ht="20.100000000000001" customHeight="1" x14ac:dyDescent="0.25">
      <c r="A1353" s="8">
        <f t="shared" si="21"/>
        <v>1350</v>
      </c>
      <c r="B1353" s="21" t="s">
        <v>3301</v>
      </c>
      <c r="C1353" s="21" t="s">
        <v>3313</v>
      </c>
      <c r="D1353" s="22" t="s">
        <v>3314</v>
      </c>
      <c r="E1353" s="22" t="s">
        <v>16</v>
      </c>
      <c r="F1353" s="22" t="s">
        <v>30</v>
      </c>
      <c r="G1353" s="23">
        <v>42798</v>
      </c>
      <c r="H1353" s="22" t="s">
        <v>35</v>
      </c>
      <c r="I1353" s="22" t="s">
        <v>40</v>
      </c>
      <c r="J1353" s="22" t="s">
        <v>32</v>
      </c>
      <c r="K1353" s="10" t="str">
        <f ca="1">DATEDIF('DATA PENDUDUK'!$G1353,TODAY(),"Y")&amp; " TAHUN"</f>
        <v>8 TAHUN</v>
      </c>
      <c r="L1353" s="24" t="s">
        <v>2910</v>
      </c>
    </row>
    <row r="1354" spans="1:12" ht="20.100000000000001" customHeight="1" x14ac:dyDescent="0.25">
      <c r="A1354" s="8">
        <f t="shared" si="21"/>
        <v>1351</v>
      </c>
      <c r="B1354" s="21" t="s">
        <v>3315</v>
      </c>
      <c r="C1354" s="21" t="s">
        <v>3109</v>
      </c>
      <c r="D1354" s="22" t="s">
        <v>3110</v>
      </c>
      <c r="E1354" s="22" t="s">
        <v>16</v>
      </c>
      <c r="F1354" s="22" t="s">
        <v>3083</v>
      </c>
      <c r="G1354" s="23">
        <v>28949</v>
      </c>
      <c r="H1354" s="22" t="s">
        <v>35</v>
      </c>
      <c r="I1354" s="22" t="s">
        <v>2593</v>
      </c>
      <c r="J1354" s="22" t="s">
        <v>20</v>
      </c>
      <c r="K1354" s="10" t="str">
        <f ca="1">DATEDIF('DATA PENDUDUK'!$G1354,TODAY(),"Y")&amp; " TAHUN"</f>
        <v>46 TAHUN</v>
      </c>
      <c r="L1354" s="24" t="s">
        <v>2910</v>
      </c>
    </row>
    <row r="1355" spans="1:12" ht="20.100000000000001" customHeight="1" x14ac:dyDescent="0.25">
      <c r="A1355" s="8">
        <f t="shared" si="21"/>
        <v>1352</v>
      </c>
      <c r="B1355" s="21" t="s">
        <v>3315</v>
      </c>
      <c r="C1355" s="21" t="s">
        <v>3316</v>
      </c>
      <c r="D1355" s="22" t="s">
        <v>3317</v>
      </c>
      <c r="E1355" s="22" t="s">
        <v>24</v>
      </c>
      <c r="F1355" s="22" t="s">
        <v>205</v>
      </c>
      <c r="G1355" s="23">
        <v>30748</v>
      </c>
      <c r="H1355" s="22" t="s">
        <v>35</v>
      </c>
      <c r="I1355" s="22" t="s">
        <v>2598</v>
      </c>
      <c r="J1355" s="22" t="s">
        <v>27</v>
      </c>
      <c r="K1355" s="10" t="str">
        <f ca="1">DATEDIF('DATA PENDUDUK'!$G1355,TODAY(),"Y")&amp; " TAHUN"</f>
        <v>41 TAHUN</v>
      </c>
      <c r="L1355" s="24" t="s">
        <v>2910</v>
      </c>
    </row>
    <row r="1356" spans="1:12" ht="20.100000000000001" customHeight="1" x14ac:dyDescent="0.25">
      <c r="A1356" s="8">
        <f t="shared" si="21"/>
        <v>1353</v>
      </c>
      <c r="B1356" s="21" t="s">
        <v>3315</v>
      </c>
      <c r="C1356" s="21" t="s">
        <v>3111</v>
      </c>
      <c r="D1356" s="22" t="s">
        <v>3318</v>
      </c>
      <c r="E1356" s="22" t="s">
        <v>16</v>
      </c>
      <c r="F1356" s="22" t="s">
        <v>3083</v>
      </c>
      <c r="G1356" s="23">
        <v>39389</v>
      </c>
      <c r="H1356" s="22" t="s">
        <v>35</v>
      </c>
      <c r="I1356" s="22" t="s">
        <v>40</v>
      </c>
      <c r="J1356" s="22" t="s">
        <v>32</v>
      </c>
      <c r="K1356" s="10" t="str">
        <f ca="1">DATEDIF('DATA PENDUDUK'!$G1356,TODAY(),"Y")&amp; " TAHUN"</f>
        <v>17 TAHUN</v>
      </c>
      <c r="L1356" s="24" t="s">
        <v>2910</v>
      </c>
    </row>
    <row r="1357" spans="1:12" ht="20.100000000000001" customHeight="1" x14ac:dyDescent="0.25">
      <c r="A1357" s="8">
        <f t="shared" si="21"/>
        <v>1354</v>
      </c>
      <c r="B1357" s="21" t="s">
        <v>3315</v>
      </c>
      <c r="C1357" s="21" t="s">
        <v>3319</v>
      </c>
      <c r="D1357" s="22" t="s">
        <v>3320</v>
      </c>
      <c r="E1357" s="22" t="s">
        <v>16</v>
      </c>
      <c r="F1357" s="22" t="s">
        <v>205</v>
      </c>
      <c r="G1357" s="23">
        <v>40021</v>
      </c>
      <c r="H1357" s="22" t="s">
        <v>35</v>
      </c>
      <c r="I1357" s="22" t="s">
        <v>40</v>
      </c>
      <c r="J1357" s="22" t="s">
        <v>32</v>
      </c>
      <c r="K1357" s="10" t="str">
        <f ca="1">DATEDIF('DATA PENDUDUK'!$G1357,TODAY(),"Y")&amp; " TAHUN"</f>
        <v>15 TAHUN</v>
      </c>
      <c r="L1357" s="24" t="s">
        <v>2910</v>
      </c>
    </row>
    <row r="1358" spans="1:12" ht="20.100000000000001" customHeight="1" x14ac:dyDescent="0.25">
      <c r="A1358" s="8">
        <f t="shared" si="21"/>
        <v>1355</v>
      </c>
      <c r="B1358" s="21" t="s">
        <v>3315</v>
      </c>
      <c r="C1358" s="21" t="s">
        <v>3321</v>
      </c>
      <c r="D1358" s="22" t="s">
        <v>3322</v>
      </c>
      <c r="E1358" s="22" t="s">
        <v>16</v>
      </c>
      <c r="F1358" s="22" t="s">
        <v>205</v>
      </c>
      <c r="G1358" s="23">
        <v>42852</v>
      </c>
      <c r="H1358" s="22" t="s">
        <v>35</v>
      </c>
      <c r="I1358" s="22" t="s">
        <v>40</v>
      </c>
      <c r="J1358" s="22" t="s">
        <v>32</v>
      </c>
      <c r="K1358" s="10" t="str">
        <f ca="1">DATEDIF('DATA PENDUDUK'!$G1358,TODAY(),"Y")&amp; " TAHUN"</f>
        <v>8 TAHUN</v>
      </c>
      <c r="L1358" s="24" t="s">
        <v>2910</v>
      </c>
    </row>
    <row r="1359" spans="1:12" ht="20.100000000000001" customHeight="1" x14ac:dyDescent="0.25">
      <c r="A1359" s="8">
        <f t="shared" si="21"/>
        <v>1356</v>
      </c>
      <c r="B1359" s="21" t="s">
        <v>3315</v>
      </c>
      <c r="C1359" s="21" t="s">
        <v>3323</v>
      </c>
      <c r="D1359" s="22" t="s">
        <v>3324</v>
      </c>
      <c r="E1359" s="22" t="s">
        <v>16</v>
      </c>
      <c r="F1359" s="22" t="s">
        <v>3083</v>
      </c>
      <c r="G1359" s="23">
        <v>28522</v>
      </c>
      <c r="H1359" s="22" t="s">
        <v>35</v>
      </c>
      <c r="I1359" s="22" t="s">
        <v>2593</v>
      </c>
      <c r="J1359" s="22" t="s">
        <v>37</v>
      </c>
      <c r="K1359" s="10" t="str">
        <f ca="1">DATEDIF('DATA PENDUDUK'!$G1359,TODAY(),"Y")&amp; " TAHUN"</f>
        <v>47 TAHUN</v>
      </c>
      <c r="L1359" s="24" t="s">
        <v>2910</v>
      </c>
    </row>
    <row r="1360" spans="1:12" ht="20.100000000000001" customHeight="1" x14ac:dyDescent="0.25">
      <c r="A1360" s="8">
        <f t="shared" si="21"/>
        <v>1357</v>
      </c>
      <c r="B1360" s="21" t="s">
        <v>3325</v>
      </c>
      <c r="C1360" s="21" t="s">
        <v>3326</v>
      </c>
      <c r="D1360" s="22" t="s">
        <v>3327</v>
      </c>
      <c r="E1360" s="22" t="s">
        <v>16</v>
      </c>
      <c r="F1360" s="22" t="s">
        <v>170</v>
      </c>
      <c r="G1360" s="23">
        <v>31571</v>
      </c>
      <c r="H1360" s="22" t="s">
        <v>35</v>
      </c>
      <c r="I1360" s="22" t="s">
        <v>2937</v>
      </c>
      <c r="J1360" s="22" t="s">
        <v>20</v>
      </c>
      <c r="K1360" s="10" t="str">
        <f ca="1">DATEDIF('DATA PENDUDUK'!$G1360,TODAY(),"Y")&amp; " TAHUN"</f>
        <v>39 TAHUN</v>
      </c>
      <c r="L1360" s="24" t="s">
        <v>2910</v>
      </c>
    </row>
    <row r="1361" spans="1:12" ht="20.100000000000001" customHeight="1" x14ac:dyDescent="0.25">
      <c r="A1361" s="8">
        <f t="shared" si="21"/>
        <v>1358</v>
      </c>
      <c r="B1361" s="24" t="s">
        <v>3325</v>
      </c>
      <c r="C1361" s="21" t="s">
        <v>3328</v>
      </c>
      <c r="D1361" s="22" t="s">
        <v>3329</v>
      </c>
      <c r="E1361" s="22" t="s">
        <v>24</v>
      </c>
      <c r="F1361" s="22" t="s">
        <v>3330</v>
      </c>
      <c r="G1361" s="23">
        <v>32861</v>
      </c>
      <c r="H1361" s="22" t="s">
        <v>35</v>
      </c>
      <c r="I1361" s="22" t="s">
        <v>1795</v>
      </c>
      <c r="J1361" s="22" t="s">
        <v>27</v>
      </c>
      <c r="K1361" s="10" t="str">
        <f ca="1">DATEDIF('DATA PENDUDUK'!$G1361,TODAY(),"Y")&amp; " TAHUN"</f>
        <v>35 TAHUN</v>
      </c>
      <c r="L1361" s="24" t="s">
        <v>2910</v>
      </c>
    </row>
    <row r="1362" spans="1:12" ht="20.100000000000001" customHeight="1" x14ac:dyDescent="0.25">
      <c r="A1362" s="8">
        <f t="shared" si="21"/>
        <v>1359</v>
      </c>
      <c r="B1362" s="24" t="s">
        <v>3325</v>
      </c>
      <c r="C1362" s="21" t="s">
        <v>3331</v>
      </c>
      <c r="D1362" s="22" t="s">
        <v>3332</v>
      </c>
      <c r="E1362" s="22" t="s">
        <v>16</v>
      </c>
      <c r="F1362" s="22" t="s">
        <v>30</v>
      </c>
      <c r="G1362" s="23">
        <v>41380</v>
      </c>
      <c r="H1362" s="22" t="s">
        <v>35</v>
      </c>
      <c r="I1362" s="22" t="s">
        <v>40</v>
      </c>
      <c r="J1362" s="22" t="s">
        <v>32</v>
      </c>
      <c r="K1362" s="10" t="str">
        <f ca="1">DATEDIF('DATA PENDUDUK'!$G1362,TODAY(),"Y")&amp; " TAHUN"</f>
        <v>12 TAHUN</v>
      </c>
      <c r="L1362" s="24" t="s">
        <v>2910</v>
      </c>
    </row>
    <row r="1363" spans="1:12" ht="20.100000000000001" customHeight="1" x14ac:dyDescent="0.25">
      <c r="A1363" s="8">
        <f t="shared" si="21"/>
        <v>1360</v>
      </c>
      <c r="B1363" s="21" t="s">
        <v>3333</v>
      </c>
      <c r="C1363" s="21" t="s">
        <v>3334</v>
      </c>
      <c r="D1363" s="22" t="s">
        <v>3335</v>
      </c>
      <c r="E1363" s="22" t="s">
        <v>16</v>
      </c>
      <c r="F1363" s="22"/>
      <c r="G1363" s="23">
        <v>17113</v>
      </c>
      <c r="H1363" s="22" t="s">
        <v>438</v>
      </c>
      <c r="I1363" s="22" t="s">
        <v>2937</v>
      </c>
      <c r="J1363" s="22" t="s">
        <v>20</v>
      </c>
      <c r="K1363" s="10" t="str">
        <f ca="1">DATEDIF('DATA PENDUDUK'!$G1363,TODAY(),"Y")&amp; " TAHUN"</f>
        <v>78 TAHUN</v>
      </c>
      <c r="L1363" s="24" t="s">
        <v>2910</v>
      </c>
    </row>
    <row r="1364" spans="1:12" ht="20.100000000000001" customHeight="1" x14ac:dyDescent="0.25">
      <c r="A1364" s="8">
        <f t="shared" si="21"/>
        <v>1361</v>
      </c>
      <c r="B1364" s="21" t="s">
        <v>3333</v>
      </c>
      <c r="C1364" s="21" t="s">
        <v>3336</v>
      </c>
      <c r="D1364" s="22" t="s">
        <v>3337</v>
      </c>
      <c r="E1364" s="22" t="s">
        <v>24</v>
      </c>
      <c r="F1364" s="22"/>
      <c r="G1364" s="23">
        <v>34590</v>
      </c>
      <c r="H1364" s="22" t="s">
        <v>18</v>
      </c>
      <c r="I1364" s="22" t="s">
        <v>40</v>
      </c>
      <c r="J1364" s="22" t="s">
        <v>27</v>
      </c>
      <c r="K1364" s="10" t="str">
        <f ca="1">DATEDIF('DATA PENDUDUK'!$G1364,TODAY(),"Y")&amp; " TAHUN"</f>
        <v>30 TAHUN</v>
      </c>
      <c r="L1364" s="24" t="s">
        <v>2910</v>
      </c>
    </row>
    <row r="1365" spans="1:12" ht="20.100000000000001" customHeight="1" x14ac:dyDescent="0.25">
      <c r="A1365" s="8">
        <f t="shared" si="21"/>
        <v>1362</v>
      </c>
      <c r="B1365" s="21" t="s">
        <v>3333</v>
      </c>
      <c r="C1365" s="21" t="s">
        <v>3338</v>
      </c>
      <c r="D1365" s="22" t="s">
        <v>3339</v>
      </c>
      <c r="E1365" s="22" t="s">
        <v>16</v>
      </c>
      <c r="F1365" s="22" t="s">
        <v>30</v>
      </c>
      <c r="G1365" s="23">
        <v>44489</v>
      </c>
      <c r="H1365" s="22" t="s">
        <v>438</v>
      </c>
      <c r="I1365" s="22" t="s">
        <v>40</v>
      </c>
      <c r="J1365" s="22" t="s">
        <v>32</v>
      </c>
      <c r="K1365" s="10" t="str">
        <f ca="1">DATEDIF('DATA PENDUDUK'!$G1365,TODAY(),"Y")&amp; " TAHUN"</f>
        <v>3 TAHUN</v>
      </c>
      <c r="L1365" s="24" t="s">
        <v>2910</v>
      </c>
    </row>
    <row r="1366" spans="1:12" ht="20.100000000000001" customHeight="1" x14ac:dyDescent="0.25">
      <c r="A1366" s="8">
        <f t="shared" si="21"/>
        <v>1363</v>
      </c>
      <c r="B1366" s="21" t="s">
        <v>3340</v>
      </c>
      <c r="C1366" s="21" t="s">
        <v>3341</v>
      </c>
      <c r="D1366" s="22" t="s">
        <v>3342</v>
      </c>
      <c r="E1366" s="22" t="s">
        <v>16</v>
      </c>
      <c r="F1366" s="22" t="s">
        <v>3089</v>
      </c>
      <c r="G1366" s="23">
        <v>35249</v>
      </c>
      <c r="H1366" s="22" t="s">
        <v>35</v>
      </c>
      <c r="I1366" s="22" t="s">
        <v>2937</v>
      </c>
      <c r="J1366" s="22" t="s">
        <v>20</v>
      </c>
      <c r="K1366" s="10" t="str">
        <f ca="1">DATEDIF('DATA PENDUDUK'!$G1366,TODAY(),"Y")&amp; " TAHUN"</f>
        <v>29 TAHUN</v>
      </c>
      <c r="L1366" s="24" t="s">
        <v>2910</v>
      </c>
    </row>
    <row r="1367" spans="1:12" ht="20.100000000000001" customHeight="1" x14ac:dyDescent="0.25">
      <c r="A1367" s="8">
        <f t="shared" si="21"/>
        <v>1364</v>
      </c>
      <c r="B1367" s="21" t="s">
        <v>3340</v>
      </c>
      <c r="C1367" s="21" t="s">
        <v>3343</v>
      </c>
      <c r="D1367" s="22" t="s">
        <v>3344</v>
      </c>
      <c r="E1367" s="22" t="s">
        <v>24</v>
      </c>
      <c r="F1367" s="22" t="s">
        <v>3089</v>
      </c>
      <c r="G1367" s="23">
        <v>35238</v>
      </c>
      <c r="H1367" s="22" t="s">
        <v>35</v>
      </c>
      <c r="I1367" s="22" t="s">
        <v>3026</v>
      </c>
      <c r="J1367" s="22" t="s">
        <v>27</v>
      </c>
      <c r="K1367" s="10" t="str">
        <f ca="1">DATEDIF('DATA PENDUDUK'!$G1367,TODAY(),"Y")&amp; " TAHUN"</f>
        <v>29 TAHUN</v>
      </c>
      <c r="L1367" s="24" t="s">
        <v>2910</v>
      </c>
    </row>
    <row r="1368" spans="1:12" ht="20.100000000000001" customHeight="1" x14ac:dyDescent="0.25">
      <c r="A1368" s="8">
        <f t="shared" si="21"/>
        <v>1365</v>
      </c>
      <c r="B1368" s="21" t="s">
        <v>3340</v>
      </c>
      <c r="C1368" s="21" t="s">
        <v>3345</v>
      </c>
      <c r="D1368" s="22" t="s">
        <v>3346</v>
      </c>
      <c r="E1368" s="22" t="s">
        <v>24</v>
      </c>
      <c r="F1368" s="22" t="s">
        <v>3089</v>
      </c>
      <c r="G1368" s="23">
        <v>45235</v>
      </c>
      <c r="H1368" s="22" t="s">
        <v>35</v>
      </c>
      <c r="I1368" s="22" t="s">
        <v>40</v>
      </c>
      <c r="J1368" s="22" t="s">
        <v>32</v>
      </c>
      <c r="K1368" s="10" t="str">
        <f ca="1">DATEDIF('DATA PENDUDUK'!$G1368,TODAY(),"Y")&amp; " TAHUN"</f>
        <v>1 TAHUN</v>
      </c>
      <c r="L1368" s="24" t="s">
        <v>2910</v>
      </c>
    </row>
    <row r="1369" spans="1:12" ht="20.100000000000001" customHeight="1" x14ac:dyDescent="0.25">
      <c r="A1369" s="8">
        <f t="shared" si="21"/>
        <v>1366</v>
      </c>
      <c r="B1369" s="21" t="s">
        <v>3347</v>
      </c>
      <c r="C1369" s="21" t="s">
        <v>3348</v>
      </c>
      <c r="D1369" s="22" t="s">
        <v>3349</v>
      </c>
      <c r="E1369" s="22" t="s">
        <v>16</v>
      </c>
      <c r="F1369" s="22" t="s">
        <v>3350</v>
      </c>
      <c r="G1369" s="23">
        <v>35643</v>
      </c>
      <c r="H1369" s="22" t="s">
        <v>35</v>
      </c>
      <c r="I1369" s="22" t="s">
        <v>2937</v>
      </c>
      <c r="J1369" s="22" t="s">
        <v>3351</v>
      </c>
      <c r="K1369" s="10" t="str">
        <f ca="1">DATEDIF('DATA PENDUDUK'!$G1369,TODAY(),"Y")&amp; " TAHUN"</f>
        <v>27 TAHUN</v>
      </c>
      <c r="L1369" s="24" t="s">
        <v>2910</v>
      </c>
    </row>
    <row r="1370" spans="1:12" ht="20.100000000000001" customHeight="1" x14ac:dyDescent="0.25">
      <c r="A1370" s="8">
        <f t="shared" si="21"/>
        <v>1367</v>
      </c>
      <c r="B1370" s="21" t="s">
        <v>3347</v>
      </c>
      <c r="C1370" s="21" t="s">
        <v>3352</v>
      </c>
      <c r="D1370" s="22" t="s">
        <v>3353</v>
      </c>
      <c r="E1370" s="22" t="s">
        <v>24</v>
      </c>
      <c r="F1370" s="22" t="s">
        <v>1577</v>
      </c>
      <c r="G1370" s="23">
        <v>35648</v>
      </c>
      <c r="H1370" s="22" t="s">
        <v>35</v>
      </c>
      <c r="I1370" s="22" t="s">
        <v>2598</v>
      </c>
      <c r="J1370" s="22" t="s">
        <v>27</v>
      </c>
      <c r="K1370" s="10" t="str">
        <f ca="1">DATEDIF('DATA PENDUDUK'!$G1370,TODAY(),"Y")&amp; " TAHUN"</f>
        <v>27 TAHUN</v>
      </c>
      <c r="L1370" s="24" t="s">
        <v>2910</v>
      </c>
    </row>
    <row r="1371" spans="1:12" ht="20.100000000000001" customHeight="1" x14ac:dyDescent="0.25">
      <c r="A1371" s="8">
        <f t="shared" si="21"/>
        <v>1368</v>
      </c>
      <c r="B1371" s="21" t="s">
        <v>3347</v>
      </c>
      <c r="C1371" s="21" t="s">
        <v>3354</v>
      </c>
      <c r="D1371" s="22" t="s">
        <v>3355</v>
      </c>
      <c r="E1371" s="22" t="s">
        <v>16</v>
      </c>
      <c r="F1371" s="22" t="s">
        <v>3350</v>
      </c>
      <c r="G1371" s="23">
        <v>44685</v>
      </c>
      <c r="H1371" s="22" t="s">
        <v>35</v>
      </c>
      <c r="I1371" s="22" t="s">
        <v>40</v>
      </c>
      <c r="J1371" s="22" t="s">
        <v>32</v>
      </c>
      <c r="K1371" s="10" t="str">
        <f ca="1">DATEDIF('DATA PENDUDUK'!$G1371,TODAY(),"Y")&amp; " TAHUN"</f>
        <v>3 TAHUN</v>
      </c>
      <c r="L1371" s="24" t="s">
        <v>2910</v>
      </c>
    </row>
    <row r="1372" spans="1:12" ht="20.100000000000001" customHeight="1" x14ac:dyDescent="0.25">
      <c r="A1372" s="8">
        <f t="shared" si="21"/>
        <v>1369</v>
      </c>
      <c r="B1372" s="21" t="s">
        <v>3356</v>
      </c>
      <c r="C1372" s="21" t="s">
        <v>3357</v>
      </c>
      <c r="D1372" s="22" t="s">
        <v>3358</v>
      </c>
      <c r="E1372" s="22" t="s">
        <v>16</v>
      </c>
      <c r="F1372" s="22" t="s">
        <v>3359</v>
      </c>
      <c r="G1372" s="23">
        <v>31872</v>
      </c>
      <c r="H1372" s="22" t="s">
        <v>35</v>
      </c>
      <c r="I1372" s="22" t="s">
        <v>2937</v>
      </c>
      <c r="J1372" s="22" t="s">
        <v>20</v>
      </c>
      <c r="K1372" s="10" t="str">
        <f ca="1">DATEDIF('DATA PENDUDUK'!$G1372,TODAY(),"Y")&amp; " TAHUN"</f>
        <v>38 TAHUN</v>
      </c>
      <c r="L1372" s="24" t="s">
        <v>2910</v>
      </c>
    </row>
    <row r="1373" spans="1:12" ht="20.100000000000001" customHeight="1" x14ac:dyDescent="0.25">
      <c r="A1373" s="8">
        <f t="shared" si="21"/>
        <v>1370</v>
      </c>
      <c r="B1373" s="21" t="s">
        <v>3356</v>
      </c>
      <c r="C1373" s="21" t="s">
        <v>3360</v>
      </c>
      <c r="D1373" s="22" t="s">
        <v>3361</v>
      </c>
      <c r="E1373" s="22" t="s">
        <v>24</v>
      </c>
      <c r="F1373" s="22" t="s">
        <v>3362</v>
      </c>
      <c r="G1373" s="23">
        <v>32205</v>
      </c>
      <c r="H1373" s="22" t="s">
        <v>35</v>
      </c>
      <c r="I1373" s="22" t="s">
        <v>40</v>
      </c>
      <c r="J1373" s="22" t="s">
        <v>27</v>
      </c>
      <c r="K1373" s="10" t="str">
        <f ca="1">DATEDIF('DATA PENDUDUK'!$G1373,TODAY(),"Y")&amp; " TAHUN"</f>
        <v>37 TAHUN</v>
      </c>
      <c r="L1373" s="24" t="s">
        <v>2910</v>
      </c>
    </row>
    <row r="1374" spans="1:12" ht="20.100000000000001" customHeight="1" x14ac:dyDescent="0.25">
      <c r="A1374" s="8">
        <f t="shared" si="21"/>
        <v>1371</v>
      </c>
      <c r="B1374" s="21" t="s">
        <v>3356</v>
      </c>
      <c r="C1374" s="21" t="s">
        <v>3363</v>
      </c>
      <c r="D1374" s="22" t="s">
        <v>3364</v>
      </c>
      <c r="E1374" s="22" t="s">
        <v>24</v>
      </c>
      <c r="F1374" s="22" t="s">
        <v>30</v>
      </c>
      <c r="G1374" s="23">
        <v>40730</v>
      </c>
      <c r="H1374" s="22" t="s">
        <v>35</v>
      </c>
      <c r="I1374" s="22" t="s">
        <v>40</v>
      </c>
      <c r="J1374" s="22" t="s">
        <v>32</v>
      </c>
      <c r="K1374" s="10" t="str">
        <f ca="1">DATEDIF('DATA PENDUDUK'!$G1374,TODAY(),"Y")&amp; " TAHUN"</f>
        <v>14 TAHUN</v>
      </c>
      <c r="L1374" s="24" t="s">
        <v>2910</v>
      </c>
    </row>
    <row r="1375" spans="1:12" ht="20.100000000000001" customHeight="1" x14ac:dyDescent="0.25">
      <c r="A1375" s="8">
        <f t="shared" si="21"/>
        <v>1372</v>
      </c>
      <c r="B1375" s="21" t="s">
        <v>3356</v>
      </c>
      <c r="C1375" s="21" t="s">
        <v>3365</v>
      </c>
      <c r="D1375" s="22" t="s">
        <v>3366</v>
      </c>
      <c r="E1375" s="22" t="s">
        <v>24</v>
      </c>
      <c r="F1375" s="22" t="s">
        <v>30</v>
      </c>
      <c r="G1375" s="23">
        <v>42883</v>
      </c>
      <c r="H1375" s="22" t="s">
        <v>35</v>
      </c>
      <c r="I1375" s="22" t="s">
        <v>40</v>
      </c>
      <c r="J1375" s="22" t="s">
        <v>32</v>
      </c>
      <c r="K1375" s="10" t="str">
        <f ca="1">DATEDIF('DATA PENDUDUK'!$G1375,TODAY(),"Y")&amp; " TAHUN"</f>
        <v>8 TAHUN</v>
      </c>
      <c r="L1375" s="24" t="s">
        <v>2910</v>
      </c>
    </row>
    <row r="1376" spans="1:12" ht="20.100000000000001" customHeight="1" x14ac:dyDescent="0.25">
      <c r="A1376" s="8">
        <f t="shared" si="21"/>
        <v>1373</v>
      </c>
      <c r="B1376" s="21" t="s">
        <v>3367</v>
      </c>
      <c r="C1376" s="21" t="s">
        <v>3368</v>
      </c>
      <c r="D1376" s="22" t="s">
        <v>3369</v>
      </c>
      <c r="E1376" s="22" t="s">
        <v>16</v>
      </c>
      <c r="F1376" s="22" t="s">
        <v>205</v>
      </c>
      <c r="G1376" s="23">
        <v>27092</v>
      </c>
      <c r="H1376" s="22" t="s">
        <v>35</v>
      </c>
      <c r="I1376" s="22" t="s">
        <v>19</v>
      </c>
      <c r="J1376" s="22" t="s">
        <v>20</v>
      </c>
      <c r="K1376" s="10" t="str">
        <f ca="1">DATEDIF('DATA PENDUDUK'!$G1376,TODAY(),"Y")&amp; " TAHUN"</f>
        <v>51 TAHUN</v>
      </c>
      <c r="L1376" s="24" t="s">
        <v>2910</v>
      </c>
    </row>
    <row r="1377" spans="1:12" ht="20.100000000000001" customHeight="1" x14ac:dyDescent="0.25">
      <c r="A1377" s="8">
        <f t="shared" si="21"/>
        <v>1374</v>
      </c>
      <c r="B1377" s="21" t="s">
        <v>3367</v>
      </c>
      <c r="C1377" s="21" t="s">
        <v>3370</v>
      </c>
      <c r="D1377" s="22" t="s">
        <v>3371</v>
      </c>
      <c r="E1377" s="22" t="s">
        <v>24</v>
      </c>
      <c r="F1377" s="22" t="s">
        <v>205</v>
      </c>
      <c r="G1377" s="23">
        <v>28898</v>
      </c>
      <c r="H1377" s="22" t="s">
        <v>3208</v>
      </c>
      <c r="I1377" s="22" t="s">
        <v>2598</v>
      </c>
      <c r="J1377" s="22" t="s">
        <v>27</v>
      </c>
      <c r="K1377" s="10" t="str">
        <f ca="1">DATEDIF('DATA PENDUDUK'!$G1377,TODAY(),"Y")&amp; " TAHUN"</f>
        <v>46 TAHUN</v>
      </c>
      <c r="L1377" s="24" t="s">
        <v>2910</v>
      </c>
    </row>
    <row r="1378" spans="1:12" ht="20.100000000000001" customHeight="1" x14ac:dyDescent="0.25">
      <c r="A1378" s="8">
        <f t="shared" si="21"/>
        <v>1375</v>
      </c>
      <c r="B1378" s="21" t="s">
        <v>3367</v>
      </c>
      <c r="C1378" s="21" t="s">
        <v>3372</v>
      </c>
      <c r="D1378" s="22" t="s">
        <v>3373</v>
      </c>
      <c r="E1378" s="22" t="s">
        <v>16</v>
      </c>
      <c r="F1378" s="22"/>
      <c r="G1378" s="23">
        <v>36637</v>
      </c>
      <c r="H1378" s="22" t="s">
        <v>35</v>
      </c>
      <c r="I1378" s="22" t="s">
        <v>31</v>
      </c>
      <c r="J1378" s="22" t="s">
        <v>32</v>
      </c>
      <c r="K1378" s="10" t="str">
        <f ca="1">DATEDIF('DATA PENDUDUK'!$G1378,TODAY(),"Y")&amp; " TAHUN"</f>
        <v>25 TAHUN</v>
      </c>
      <c r="L1378" s="24" t="s">
        <v>2910</v>
      </c>
    </row>
    <row r="1379" spans="1:12" ht="20.100000000000001" customHeight="1" x14ac:dyDescent="0.25">
      <c r="A1379" s="8">
        <f t="shared" si="21"/>
        <v>1376</v>
      </c>
      <c r="B1379" s="21" t="s">
        <v>3367</v>
      </c>
      <c r="C1379" s="21" t="s">
        <v>3374</v>
      </c>
      <c r="D1379" s="22" t="s">
        <v>3375</v>
      </c>
      <c r="E1379" s="22" t="s">
        <v>16</v>
      </c>
      <c r="F1379" s="22" t="s">
        <v>1476</v>
      </c>
      <c r="G1379" s="23">
        <v>37771</v>
      </c>
      <c r="H1379" s="22" t="s">
        <v>35</v>
      </c>
      <c r="I1379" s="22" t="s">
        <v>31</v>
      </c>
      <c r="J1379" s="22" t="s">
        <v>32</v>
      </c>
      <c r="K1379" s="10" t="str">
        <f ca="1">DATEDIF('DATA PENDUDUK'!$G1379,TODAY(),"Y")&amp; " TAHUN"</f>
        <v>22 TAHUN</v>
      </c>
      <c r="L1379" s="24" t="s">
        <v>2910</v>
      </c>
    </row>
    <row r="1380" spans="1:12" ht="20.100000000000001" customHeight="1" x14ac:dyDescent="0.25">
      <c r="A1380" s="8">
        <f t="shared" si="21"/>
        <v>1377</v>
      </c>
      <c r="B1380" s="21" t="s">
        <v>3367</v>
      </c>
      <c r="C1380" s="21" t="s">
        <v>3376</v>
      </c>
      <c r="D1380" s="22" t="s">
        <v>3377</v>
      </c>
      <c r="E1380" s="22" t="s">
        <v>16</v>
      </c>
      <c r="F1380" s="22" t="s">
        <v>30</v>
      </c>
      <c r="G1380" s="23">
        <v>39704</v>
      </c>
      <c r="H1380" s="22" t="s">
        <v>3378</v>
      </c>
      <c r="I1380" s="22" t="s">
        <v>31</v>
      </c>
      <c r="J1380" s="22" t="s">
        <v>32</v>
      </c>
      <c r="K1380" s="10" t="str">
        <f ca="1">DATEDIF('DATA PENDUDUK'!$G1380,TODAY(),"Y")&amp; " TAHUN"</f>
        <v>16 TAHUN</v>
      </c>
      <c r="L1380" s="24" t="s">
        <v>2910</v>
      </c>
    </row>
    <row r="1381" spans="1:12" ht="20.100000000000001" customHeight="1" x14ac:dyDescent="0.25">
      <c r="A1381" s="8">
        <f t="shared" si="21"/>
        <v>1378</v>
      </c>
      <c r="B1381" s="21" t="s">
        <v>3367</v>
      </c>
      <c r="C1381" s="21" t="s">
        <v>3379</v>
      </c>
      <c r="D1381" s="22" t="s">
        <v>3380</v>
      </c>
      <c r="E1381" s="22" t="s">
        <v>16</v>
      </c>
      <c r="F1381" s="22" t="s">
        <v>30</v>
      </c>
      <c r="G1381" s="23">
        <v>41540</v>
      </c>
      <c r="H1381" s="22" t="s">
        <v>35</v>
      </c>
      <c r="I1381" s="22" t="s">
        <v>40</v>
      </c>
      <c r="J1381" s="22" t="s">
        <v>32</v>
      </c>
      <c r="K1381" s="10" t="str">
        <f ca="1">DATEDIF('DATA PENDUDUK'!$G1381,TODAY(),"Y")&amp; " TAHUN"</f>
        <v>11 TAHUN</v>
      </c>
      <c r="L1381" s="24" t="s">
        <v>2910</v>
      </c>
    </row>
    <row r="1382" spans="1:12" ht="20.100000000000001" customHeight="1" x14ac:dyDescent="0.25">
      <c r="A1382" s="8">
        <f t="shared" si="21"/>
        <v>1379</v>
      </c>
      <c r="B1382" s="21" t="s">
        <v>3367</v>
      </c>
      <c r="C1382" s="21" t="s">
        <v>3381</v>
      </c>
      <c r="D1382" s="22" t="s">
        <v>3382</v>
      </c>
      <c r="E1382" s="22" t="s">
        <v>16</v>
      </c>
      <c r="F1382" s="22" t="s">
        <v>30</v>
      </c>
      <c r="G1382" s="23">
        <v>43269</v>
      </c>
      <c r="H1382" s="22" t="s">
        <v>35</v>
      </c>
      <c r="I1382" s="22" t="s">
        <v>40</v>
      </c>
      <c r="J1382" s="22" t="s">
        <v>32</v>
      </c>
      <c r="K1382" s="10" t="str">
        <f ca="1">DATEDIF('DATA PENDUDUK'!$G1382,TODAY(),"Y")&amp; " TAHUN"</f>
        <v>7 TAHUN</v>
      </c>
      <c r="L1382" s="24" t="s">
        <v>2910</v>
      </c>
    </row>
    <row r="1383" spans="1:12" ht="20.100000000000001" customHeight="1" x14ac:dyDescent="0.25">
      <c r="A1383" s="8">
        <f t="shared" si="21"/>
        <v>1380</v>
      </c>
      <c r="B1383" s="21" t="s">
        <v>3383</v>
      </c>
      <c r="C1383" s="21" t="s">
        <v>3384</v>
      </c>
      <c r="D1383" s="22" t="s">
        <v>3385</v>
      </c>
      <c r="E1383" s="22" t="s">
        <v>16</v>
      </c>
      <c r="F1383" s="22" t="s">
        <v>1323</v>
      </c>
      <c r="G1383" s="23">
        <v>34522</v>
      </c>
      <c r="H1383" s="22" t="s">
        <v>35</v>
      </c>
      <c r="I1383" s="22" t="s">
        <v>2937</v>
      </c>
      <c r="J1383" s="22" t="s">
        <v>20</v>
      </c>
      <c r="K1383" s="10" t="str">
        <f ca="1">DATEDIF('DATA PENDUDUK'!$G1383,TODAY(),"Y")&amp; " TAHUN"</f>
        <v>31 TAHUN</v>
      </c>
      <c r="L1383" s="24" t="s">
        <v>2910</v>
      </c>
    </row>
    <row r="1384" spans="1:12" ht="20.100000000000001" customHeight="1" x14ac:dyDescent="0.25">
      <c r="A1384" s="8">
        <f t="shared" si="21"/>
        <v>1381</v>
      </c>
      <c r="B1384" s="21" t="s">
        <v>3383</v>
      </c>
      <c r="C1384" s="21" t="s">
        <v>3386</v>
      </c>
      <c r="D1384" s="22" t="s">
        <v>3387</v>
      </c>
      <c r="E1384" s="22" t="s">
        <v>24</v>
      </c>
      <c r="F1384" s="22" t="s">
        <v>205</v>
      </c>
      <c r="G1384" s="23">
        <v>35408</v>
      </c>
      <c r="H1384" s="22" t="s">
        <v>35</v>
      </c>
      <c r="I1384" s="22" t="s">
        <v>40</v>
      </c>
      <c r="J1384" s="22" t="s">
        <v>27</v>
      </c>
      <c r="K1384" s="10" t="str">
        <f ca="1">DATEDIF('DATA PENDUDUK'!$G1384,TODAY(),"Y")&amp; " TAHUN"</f>
        <v>28 TAHUN</v>
      </c>
      <c r="L1384" s="24" t="s">
        <v>2910</v>
      </c>
    </row>
    <row r="1385" spans="1:12" ht="20.100000000000001" customHeight="1" x14ac:dyDescent="0.25">
      <c r="A1385" s="8">
        <f t="shared" si="21"/>
        <v>1382</v>
      </c>
      <c r="B1385" s="21" t="s">
        <v>3383</v>
      </c>
      <c r="C1385" s="21" t="s">
        <v>3388</v>
      </c>
      <c r="D1385" s="22" t="s">
        <v>3389</v>
      </c>
      <c r="E1385" s="22" t="s">
        <v>16</v>
      </c>
      <c r="F1385" s="22" t="s">
        <v>30</v>
      </c>
      <c r="G1385" s="23">
        <v>44821</v>
      </c>
      <c r="H1385" s="22" t="s">
        <v>35</v>
      </c>
      <c r="I1385" s="22" t="s">
        <v>40</v>
      </c>
      <c r="J1385" s="22" t="s">
        <v>32</v>
      </c>
      <c r="K1385" s="10" t="str">
        <f ca="1">DATEDIF('DATA PENDUDUK'!$G1385,TODAY(),"Y")&amp; " TAHUN"</f>
        <v>2 TAHUN</v>
      </c>
      <c r="L1385" s="24" t="s">
        <v>2910</v>
      </c>
    </row>
    <row r="1386" spans="1:12" ht="20.100000000000001" customHeight="1" x14ac:dyDescent="0.25">
      <c r="A1386" s="8">
        <f t="shared" si="21"/>
        <v>1383</v>
      </c>
      <c r="B1386" s="21" t="s">
        <v>3390</v>
      </c>
      <c r="C1386" s="21" t="s">
        <v>3391</v>
      </c>
      <c r="D1386" s="22" t="s">
        <v>3392</v>
      </c>
      <c r="E1386" s="22" t="s">
        <v>16</v>
      </c>
      <c r="F1386" s="22" t="s">
        <v>3393</v>
      </c>
      <c r="G1386" s="23">
        <v>33889</v>
      </c>
      <c r="H1386" s="22" t="s">
        <v>35</v>
      </c>
      <c r="I1386" s="22" t="s">
        <v>2937</v>
      </c>
      <c r="J1386" s="22" t="s">
        <v>20</v>
      </c>
      <c r="K1386" s="10" t="str">
        <f ca="1">DATEDIF('DATA PENDUDUK'!$G1386,TODAY(),"Y")&amp; " TAHUN"</f>
        <v>32 TAHUN</v>
      </c>
      <c r="L1386" s="24" t="s">
        <v>2910</v>
      </c>
    </row>
    <row r="1387" spans="1:12" ht="20.100000000000001" customHeight="1" x14ac:dyDescent="0.25">
      <c r="A1387" s="8">
        <f t="shared" si="21"/>
        <v>1384</v>
      </c>
      <c r="B1387" s="21" t="s">
        <v>3390</v>
      </c>
      <c r="C1387" s="21" t="s">
        <v>3394</v>
      </c>
      <c r="D1387" s="22" t="s">
        <v>3395</v>
      </c>
      <c r="E1387" s="22" t="s">
        <v>24</v>
      </c>
      <c r="F1387" s="22" t="s">
        <v>3393</v>
      </c>
      <c r="G1387" s="23">
        <v>33603</v>
      </c>
      <c r="H1387" s="22" t="s">
        <v>35</v>
      </c>
      <c r="I1387" s="22" t="s">
        <v>73</v>
      </c>
      <c r="J1387" s="22" t="s">
        <v>27</v>
      </c>
      <c r="K1387" s="10" t="str">
        <f ca="1">DATEDIF('DATA PENDUDUK'!$G1387,TODAY(),"Y")&amp; " TAHUN"</f>
        <v>33 TAHUN</v>
      </c>
      <c r="L1387" s="24" t="s">
        <v>2910</v>
      </c>
    </row>
    <row r="1388" spans="1:12" ht="20.100000000000001" customHeight="1" x14ac:dyDescent="0.25">
      <c r="A1388" s="8">
        <f t="shared" si="21"/>
        <v>1385</v>
      </c>
      <c r="B1388" s="21" t="s">
        <v>3390</v>
      </c>
      <c r="C1388" s="21" t="s">
        <v>3396</v>
      </c>
      <c r="D1388" s="22" t="s">
        <v>3397</v>
      </c>
      <c r="E1388" s="22" t="s">
        <v>16</v>
      </c>
      <c r="F1388" s="22" t="s">
        <v>30</v>
      </c>
      <c r="G1388" s="23">
        <v>42682</v>
      </c>
      <c r="H1388" s="22" t="s">
        <v>35</v>
      </c>
      <c r="I1388" s="22" t="s">
        <v>40</v>
      </c>
      <c r="J1388" s="22" t="s">
        <v>32</v>
      </c>
      <c r="K1388" s="10" t="str">
        <f ca="1">DATEDIF('DATA PENDUDUK'!$G1388,TODAY(),"Y")&amp; " TAHUN"</f>
        <v>8 TAHUN</v>
      </c>
      <c r="L1388" s="24" t="s">
        <v>2910</v>
      </c>
    </row>
    <row r="1389" spans="1:12" ht="20.100000000000001" customHeight="1" x14ac:dyDescent="0.25">
      <c r="A1389" s="8">
        <f t="shared" si="21"/>
        <v>1386</v>
      </c>
      <c r="B1389" s="21" t="s">
        <v>3390</v>
      </c>
      <c r="C1389" s="21" t="s">
        <v>3398</v>
      </c>
      <c r="D1389" s="22" t="s">
        <v>3399</v>
      </c>
      <c r="E1389" s="22" t="s">
        <v>24</v>
      </c>
      <c r="F1389" s="22" t="s">
        <v>3400</v>
      </c>
      <c r="G1389" s="23">
        <v>36990</v>
      </c>
      <c r="H1389" s="22" t="s">
        <v>35</v>
      </c>
      <c r="I1389" s="22" t="s">
        <v>31</v>
      </c>
      <c r="J1389" s="22" t="s">
        <v>37</v>
      </c>
      <c r="K1389" s="10" t="str">
        <f ca="1">DATEDIF('DATA PENDUDUK'!$G1389,TODAY(),"Y")&amp; " TAHUN"</f>
        <v>24 TAHUN</v>
      </c>
      <c r="L1389" s="24" t="s">
        <v>2910</v>
      </c>
    </row>
    <row r="1390" spans="1:12" ht="20.100000000000001" customHeight="1" x14ac:dyDescent="0.25">
      <c r="A1390" s="8">
        <f t="shared" si="21"/>
        <v>1387</v>
      </c>
      <c r="B1390" s="21" t="s">
        <v>3390</v>
      </c>
      <c r="C1390" s="21" t="s">
        <v>3401</v>
      </c>
      <c r="D1390" s="22" t="s">
        <v>3402</v>
      </c>
      <c r="E1390" s="22" t="s">
        <v>16</v>
      </c>
      <c r="F1390" s="22" t="s">
        <v>3403</v>
      </c>
      <c r="G1390" s="23">
        <v>37551</v>
      </c>
      <c r="H1390" s="22" t="s">
        <v>35</v>
      </c>
      <c r="I1390" s="22" t="s">
        <v>40</v>
      </c>
      <c r="J1390" s="22" t="s">
        <v>37</v>
      </c>
      <c r="K1390" s="10" t="str">
        <f ca="1">DATEDIF('DATA PENDUDUK'!$G1390,TODAY(),"Y")&amp; " TAHUN"</f>
        <v>22 TAHUN</v>
      </c>
      <c r="L1390" s="24" t="s">
        <v>2910</v>
      </c>
    </row>
    <row r="1391" spans="1:12" ht="20.100000000000001" customHeight="1" x14ac:dyDescent="0.25">
      <c r="A1391" s="8">
        <f t="shared" si="21"/>
        <v>1388</v>
      </c>
      <c r="B1391" s="21" t="s">
        <v>3404</v>
      </c>
      <c r="C1391" s="21" t="s">
        <v>3405</v>
      </c>
      <c r="D1391" s="22" t="s">
        <v>3406</v>
      </c>
      <c r="E1391" s="22" t="s">
        <v>16</v>
      </c>
      <c r="F1391" s="22" t="s">
        <v>3407</v>
      </c>
      <c r="G1391" s="23">
        <v>31539</v>
      </c>
      <c r="H1391" s="22" t="s">
        <v>35</v>
      </c>
      <c r="I1391" s="22" t="s">
        <v>2593</v>
      </c>
      <c r="J1391" s="22" t="s">
        <v>20</v>
      </c>
      <c r="K1391" s="10" t="str">
        <f ca="1">DATEDIF('DATA PENDUDUK'!$G1391,TODAY(),"Y")&amp; " TAHUN"</f>
        <v>39 TAHUN</v>
      </c>
      <c r="L1391" s="24" t="s">
        <v>2910</v>
      </c>
    </row>
    <row r="1392" spans="1:12" ht="20.100000000000001" customHeight="1" x14ac:dyDescent="0.25">
      <c r="A1392" s="8">
        <f t="shared" si="21"/>
        <v>1389</v>
      </c>
      <c r="B1392" s="21" t="s">
        <v>3404</v>
      </c>
      <c r="C1392" s="21" t="s">
        <v>3408</v>
      </c>
      <c r="D1392" s="22" t="s">
        <v>3409</v>
      </c>
      <c r="E1392" s="22" t="s">
        <v>24</v>
      </c>
      <c r="F1392" s="22" t="s">
        <v>3083</v>
      </c>
      <c r="G1392" s="23">
        <v>34330</v>
      </c>
      <c r="H1392" s="22" t="s">
        <v>35</v>
      </c>
      <c r="I1392" s="22" t="s">
        <v>2598</v>
      </c>
      <c r="J1392" s="22" t="s">
        <v>27</v>
      </c>
      <c r="K1392" s="10" t="str">
        <f ca="1">DATEDIF('DATA PENDUDUK'!$G1392,TODAY(),"Y")&amp; " TAHUN"</f>
        <v>31 TAHUN</v>
      </c>
      <c r="L1392" s="24" t="s">
        <v>2910</v>
      </c>
    </row>
    <row r="1393" spans="1:12" ht="20.100000000000001" customHeight="1" x14ac:dyDescent="0.25">
      <c r="A1393" s="8">
        <f t="shared" si="21"/>
        <v>1390</v>
      </c>
      <c r="B1393" s="21" t="s">
        <v>3404</v>
      </c>
      <c r="C1393" s="21" t="s">
        <v>3410</v>
      </c>
      <c r="D1393" s="22" t="s">
        <v>3411</v>
      </c>
      <c r="E1393" s="22" t="s">
        <v>16</v>
      </c>
      <c r="F1393" s="22" t="s">
        <v>205</v>
      </c>
      <c r="G1393" s="23">
        <v>41747</v>
      </c>
      <c r="H1393" s="22" t="s">
        <v>35</v>
      </c>
      <c r="I1393" s="22" t="s">
        <v>31</v>
      </c>
      <c r="J1393" s="22" t="s">
        <v>32</v>
      </c>
      <c r="K1393" s="10" t="str">
        <f ca="1">DATEDIF('DATA PENDUDUK'!$G1393,TODAY(),"Y")&amp; " TAHUN"</f>
        <v>11 TAHUN</v>
      </c>
      <c r="L1393" s="24" t="s">
        <v>2910</v>
      </c>
    </row>
    <row r="1394" spans="1:12" ht="20.100000000000001" customHeight="1" x14ac:dyDescent="0.25">
      <c r="A1394" s="8">
        <f t="shared" si="21"/>
        <v>1391</v>
      </c>
      <c r="B1394" s="21" t="s">
        <v>3412</v>
      </c>
      <c r="C1394" s="21" t="s">
        <v>3413</v>
      </c>
      <c r="D1394" s="22" t="s">
        <v>3414</v>
      </c>
      <c r="E1394" s="22" t="s">
        <v>16</v>
      </c>
      <c r="F1394" s="22" t="s">
        <v>672</v>
      </c>
      <c r="G1394" s="23">
        <v>33104</v>
      </c>
      <c r="H1394" s="22" t="s">
        <v>35</v>
      </c>
      <c r="I1394" s="22" t="s">
        <v>2937</v>
      </c>
      <c r="J1394" s="22" t="s">
        <v>20</v>
      </c>
      <c r="K1394" s="10" t="str">
        <f ca="1">DATEDIF('DATA PENDUDUK'!$G1394,TODAY(),"Y")&amp; " TAHUN"</f>
        <v>34 TAHUN</v>
      </c>
      <c r="L1394" s="24" t="s">
        <v>2910</v>
      </c>
    </row>
    <row r="1395" spans="1:12" ht="20.100000000000001" customHeight="1" x14ac:dyDescent="0.25">
      <c r="A1395" s="8">
        <f t="shared" si="21"/>
        <v>1392</v>
      </c>
      <c r="B1395" s="21" t="s">
        <v>3412</v>
      </c>
      <c r="C1395" s="21" t="s">
        <v>3415</v>
      </c>
      <c r="D1395" s="22" t="s">
        <v>3416</v>
      </c>
      <c r="E1395" s="22" t="s">
        <v>24</v>
      </c>
      <c r="F1395" s="22" t="s">
        <v>3417</v>
      </c>
      <c r="G1395" s="23">
        <v>36530</v>
      </c>
      <c r="H1395" s="22" t="s">
        <v>35</v>
      </c>
      <c r="I1395" s="22" t="s">
        <v>40</v>
      </c>
      <c r="J1395" s="22" t="s">
        <v>27</v>
      </c>
      <c r="K1395" s="10" t="str">
        <f ca="1">DATEDIF('DATA PENDUDUK'!$G1395,TODAY(),"Y")&amp; " TAHUN"</f>
        <v>25 TAHUN</v>
      </c>
      <c r="L1395" s="24" t="s">
        <v>2910</v>
      </c>
    </row>
    <row r="1396" spans="1:12" ht="20.100000000000001" customHeight="1" x14ac:dyDescent="0.25">
      <c r="A1396" s="8">
        <f t="shared" si="21"/>
        <v>1393</v>
      </c>
      <c r="B1396" s="21" t="s">
        <v>3412</v>
      </c>
      <c r="C1396" s="21" t="s">
        <v>3418</v>
      </c>
      <c r="D1396" s="22" t="s">
        <v>3419</v>
      </c>
      <c r="E1396" s="22" t="s">
        <v>16</v>
      </c>
      <c r="F1396" s="22" t="s">
        <v>3420</v>
      </c>
      <c r="G1396" s="23">
        <v>36861</v>
      </c>
      <c r="H1396" s="22" t="s">
        <v>35</v>
      </c>
      <c r="I1396" s="22" t="s">
        <v>2937</v>
      </c>
      <c r="J1396" s="22" t="s">
        <v>37</v>
      </c>
      <c r="K1396" s="10" t="str">
        <f ca="1">DATEDIF('DATA PENDUDUK'!$G1396,TODAY(),"Y")&amp; " TAHUN"</f>
        <v>24 TAHUN</v>
      </c>
      <c r="L1396" s="24" t="s">
        <v>2910</v>
      </c>
    </row>
    <row r="1397" spans="1:12" ht="20.100000000000001" customHeight="1" x14ac:dyDescent="0.25">
      <c r="A1397" s="8">
        <f t="shared" si="21"/>
        <v>1394</v>
      </c>
      <c r="B1397" s="21" t="s">
        <v>3412</v>
      </c>
      <c r="C1397" s="21" t="s">
        <v>3421</v>
      </c>
      <c r="D1397" s="22" t="s">
        <v>3422</v>
      </c>
      <c r="E1397" s="22" t="s">
        <v>16</v>
      </c>
      <c r="F1397" s="22" t="s">
        <v>3423</v>
      </c>
      <c r="G1397" s="23">
        <v>36988</v>
      </c>
      <c r="H1397" s="22" t="s">
        <v>35</v>
      </c>
      <c r="I1397" s="22" t="s">
        <v>2937</v>
      </c>
      <c r="J1397" s="22" t="s">
        <v>37</v>
      </c>
      <c r="K1397" s="10" t="str">
        <f ca="1">DATEDIF('DATA PENDUDUK'!$G1397,TODAY(),"Y")&amp; " TAHUN"</f>
        <v>24 TAHUN</v>
      </c>
      <c r="L1397" s="24" t="s">
        <v>2910</v>
      </c>
    </row>
    <row r="1398" spans="1:12" ht="20.100000000000001" customHeight="1" x14ac:dyDescent="0.25">
      <c r="A1398" s="8">
        <f t="shared" si="21"/>
        <v>1395</v>
      </c>
      <c r="B1398" s="21" t="s">
        <v>3424</v>
      </c>
      <c r="C1398" s="21" t="s">
        <v>3425</v>
      </c>
      <c r="D1398" s="22" t="s">
        <v>3426</v>
      </c>
      <c r="E1398" s="22" t="s">
        <v>16</v>
      </c>
      <c r="F1398" s="22" t="s">
        <v>3427</v>
      </c>
      <c r="G1398" s="23">
        <v>28722</v>
      </c>
      <c r="H1398" s="22" t="s">
        <v>18</v>
      </c>
      <c r="I1398" s="22" t="s">
        <v>3305</v>
      </c>
      <c r="J1398" s="22" t="s">
        <v>20</v>
      </c>
      <c r="K1398" s="10" t="str">
        <f ca="1">DATEDIF('DATA PENDUDUK'!$G1398,TODAY(),"Y")&amp; " TAHUN"</f>
        <v>46 TAHUN</v>
      </c>
      <c r="L1398" s="24" t="s">
        <v>2910</v>
      </c>
    </row>
    <row r="1399" spans="1:12" ht="20.100000000000001" customHeight="1" x14ac:dyDescent="0.25">
      <c r="A1399" s="8">
        <f t="shared" si="21"/>
        <v>1396</v>
      </c>
      <c r="B1399" s="21" t="s">
        <v>3424</v>
      </c>
      <c r="C1399" s="21" t="s">
        <v>3428</v>
      </c>
      <c r="D1399" s="22" t="s">
        <v>3429</v>
      </c>
      <c r="E1399" s="22" t="s">
        <v>24</v>
      </c>
      <c r="F1399" s="22" t="s">
        <v>3430</v>
      </c>
      <c r="G1399" s="23">
        <v>26487</v>
      </c>
      <c r="H1399" s="22" t="s">
        <v>18</v>
      </c>
      <c r="I1399" s="22" t="s">
        <v>2598</v>
      </c>
      <c r="J1399" s="22" t="s">
        <v>27</v>
      </c>
      <c r="K1399" s="10" t="str">
        <f ca="1">DATEDIF('DATA PENDUDUK'!$G1399,TODAY(),"Y")&amp; " TAHUN"</f>
        <v>53 TAHUN</v>
      </c>
      <c r="L1399" s="24" t="s">
        <v>2910</v>
      </c>
    </row>
    <row r="1400" spans="1:12" ht="20.100000000000001" customHeight="1" x14ac:dyDescent="0.25">
      <c r="A1400" s="8">
        <f t="shared" si="21"/>
        <v>1397</v>
      </c>
      <c r="B1400" s="21" t="s">
        <v>3424</v>
      </c>
      <c r="C1400" s="21" t="s">
        <v>3431</v>
      </c>
      <c r="D1400" s="22" t="s">
        <v>3432</v>
      </c>
      <c r="E1400" s="22" t="s">
        <v>16</v>
      </c>
      <c r="F1400" s="22" t="s">
        <v>3433</v>
      </c>
      <c r="G1400" s="23">
        <v>37049</v>
      </c>
      <c r="H1400" s="22" t="s">
        <v>18</v>
      </c>
      <c r="I1400" s="22" t="s">
        <v>31</v>
      </c>
      <c r="J1400" s="22" t="s">
        <v>32</v>
      </c>
      <c r="K1400" s="10" t="str">
        <f ca="1">DATEDIF('DATA PENDUDUK'!$G1400,TODAY(),"Y")&amp; " TAHUN"</f>
        <v>24 TAHUN</v>
      </c>
      <c r="L1400" s="24" t="s">
        <v>2910</v>
      </c>
    </row>
    <row r="1401" spans="1:12" ht="20.100000000000001" customHeight="1" x14ac:dyDescent="0.25">
      <c r="A1401" s="8">
        <f t="shared" si="21"/>
        <v>1398</v>
      </c>
      <c r="B1401" s="21" t="s">
        <v>3424</v>
      </c>
      <c r="C1401" s="21" t="s">
        <v>3434</v>
      </c>
      <c r="D1401" s="22" t="s">
        <v>3435</v>
      </c>
      <c r="E1401" s="22" t="s">
        <v>16</v>
      </c>
      <c r="F1401" s="22" t="s">
        <v>3433</v>
      </c>
      <c r="G1401" s="23">
        <v>38106</v>
      </c>
      <c r="H1401" s="22" t="s">
        <v>18</v>
      </c>
      <c r="I1401" s="22" t="s">
        <v>31</v>
      </c>
      <c r="J1401" s="22" t="s">
        <v>32</v>
      </c>
      <c r="K1401" s="10" t="str">
        <f ca="1">DATEDIF('DATA PENDUDUK'!$G1401,TODAY(),"Y")&amp; " TAHUN"</f>
        <v>21 TAHUN</v>
      </c>
      <c r="L1401" s="24" t="s">
        <v>2910</v>
      </c>
    </row>
    <row r="1402" spans="1:12" ht="20.100000000000001" customHeight="1" x14ac:dyDescent="0.25">
      <c r="A1402" s="8">
        <f t="shared" si="21"/>
        <v>1399</v>
      </c>
      <c r="B1402" s="21" t="s">
        <v>3424</v>
      </c>
      <c r="C1402" s="21" t="s">
        <v>3436</v>
      </c>
      <c r="D1402" s="22" t="s">
        <v>3437</v>
      </c>
      <c r="E1402" s="22" t="s">
        <v>16</v>
      </c>
      <c r="F1402" s="22" t="s">
        <v>3433</v>
      </c>
      <c r="G1402" s="23">
        <v>38841</v>
      </c>
      <c r="H1402" s="22" t="s">
        <v>18</v>
      </c>
      <c r="I1402" s="22" t="s">
        <v>31</v>
      </c>
      <c r="J1402" s="22" t="s">
        <v>32</v>
      </c>
      <c r="K1402" s="10" t="str">
        <f ca="1">DATEDIF('DATA PENDUDUK'!$G1402,TODAY(),"Y")&amp; " TAHUN"</f>
        <v>19 TAHUN</v>
      </c>
      <c r="L1402" s="24" t="s">
        <v>2910</v>
      </c>
    </row>
    <row r="1403" spans="1:12" ht="20.100000000000001" customHeight="1" x14ac:dyDescent="0.25">
      <c r="A1403" s="8">
        <f t="shared" si="21"/>
        <v>1400</v>
      </c>
      <c r="B1403" s="21" t="s">
        <v>3424</v>
      </c>
      <c r="C1403" s="21" t="s">
        <v>3438</v>
      </c>
      <c r="D1403" s="22" t="s">
        <v>3439</v>
      </c>
      <c r="E1403" s="22" t="s">
        <v>16</v>
      </c>
      <c r="F1403" s="22" t="s">
        <v>3440</v>
      </c>
      <c r="G1403" s="23">
        <v>40802</v>
      </c>
      <c r="H1403" s="22" t="s">
        <v>18</v>
      </c>
      <c r="I1403" s="22" t="s">
        <v>40</v>
      </c>
      <c r="J1403" s="22" t="s">
        <v>32</v>
      </c>
      <c r="K1403" s="10" t="str">
        <f ca="1">DATEDIF('DATA PENDUDUK'!$G1403,TODAY(),"Y")&amp; " TAHUN"</f>
        <v>13 TAHUN</v>
      </c>
      <c r="L1403" s="24" t="s">
        <v>2910</v>
      </c>
    </row>
    <row r="1404" spans="1:12" ht="20.100000000000001" customHeight="1" x14ac:dyDescent="0.25">
      <c r="A1404" s="8">
        <f t="shared" si="21"/>
        <v>1401</v>
      </c>
      <c r="B1404" s="21" t="s">
        <v>3441</v>
      </c>
      <c r="C1404" s="21" t="s">
        <v>3442</v>
      </c>
      <c r="D1404" s="22" t="s">
        <v>3443</v>
      </c>
      <c r="E1404" s="22" t="s">
        <v>16</v>
      </c>
      <c r="F1404" s="22" t="s">
        <v>629</v>
      </c>
      <c r="G1404" s="23">
        <v>25774</v>
      </c>
      <c r="H1404" s="22" t="s">
        <v>35</v>
      </c>
      <c r="I1404" s="22" t="s">
        <v>19</v>
      </c>
      <c r="J1404" s="22" t="s">
        <v>20</v>
      </c>
      <c r="K1404" s="10" t="str">
        <f ca="1">DATEDIF('DATA PENDUDUK'!$G1404,TODAY(),"Y")&amp; " TAHUN"</f>
        <v>54 TAHUN</v>
      </c>
      <c r="L1404" s="24" t="s">
        <v>2910</v>
      </c>
    </row>
    <row r="1405" spans="1:12" ht="20.100000000000001" customHeight="1" x14ac:dyDescent="0.25">
      <c r="A1405" s="8">
        <f t="shared" si="21"/>
        <v>1402</v>
      </c>
      <c r="B1405" s="21" t="s">
        <v>3441</v>
      </c>
      <c r="C1405" s="21" t="s">
        <v>3444</v>
      </c>
      <c r="D1405" s="22" t="s">
        <v>3445</v>
      </c>
      <c r="E1405" s="22" t="s">
        <v>24</v>
      </c>
      <c r="F1405" s="22" t="s">
        <v>629</v>
      </c>
      <c r="G1405" s="23">
        <v>28484</v>
      </c>
      <c r="H1405" s="22" t="s">
        <v>35</v>
      </c>
      <c r="I1405" s="22" t="s">
        <v>2598</v>
      </c>
      <c r="J1405" s="22" t="s">
        <v>27</v>
      </c>
      <c r="K1405" s="10" t="str">
        <f ca="1">DATEDIF('DATA PENDUDUK'!$G1405,TODAY(),"Y")&amp; " TAHUN"</f>
        <v>47 TAHUN</v>
      </c>
      <c r="L1405" s="24" t="s">
        <v>2910</v>
      </c>
    </row>
    <row r="1406" spans="1:12" ht="20.100000000000001" customHeight="1" x14ac:dyDescent="0.25">
      <c r="A1406" s="8">
        <f t="shared" si="21"/>
        <v>1403</v>
      </c>
      <c r="B1406" s="21" t="s">
        <v>3441</v>
      </c>
      <c r="C1406" s="21" t="s">
        <v>3446</v>
      </c>
      <c r="D1406" s="22" t="s">
        <v>3447</v>
      </c>
      <c r="E1406" s="22" t="s">
        <v>16</v>
      </c>
      <c r="F1406" s="22" t="s">
        <v>629</v>
      </c>
      <c r="G1406" s="23">
        <v>34885</v>
      </c>
      <c r="H1406" s="22" t="s">
        <v>35</v>
      </c>
      <c r="I1406" s="22" t="s">
        <v>31</v>
      </c>
      <c r="J1406" s="22" t="s">
        <v>32</v>
      </c>
      <c r="K1406" s="10" t="str">
        <f ca="1">DATEDIF('DATA PENDUDUK'!$G1406,TODAY(),"Y")&amp; " TAHUN"</f>
        <v>30 TAHUN</v>
      </c>
      <c r="L1406" s="24" t="s">
        <v>2910</v>
      </c>
    </row>
    <row r="1407" spans="1:12" ht="20.100000000000001" customHeight="1" x14ac:dyDescent="0.25">
      <c r="A1407" s="8">
        <f t="shared" si="21"/>
        <v>1404</v>
      </c>
      <c r="B1407" s="21" t="s">
        <v>3441</v>
      </c>
      <c r="C1407" s="21" t="s">
        <v>3448</v>
      </c>
      <c r="D1407" s="22" t="s">
        <v>3449</v>
      </c>
      <c r="E1407" s="22" t="s">
        <v>16</v>
      </c>
      <c r="F1407" s="22" t="s">
        <v>629</v>
      </c>
      <c r="G1407" s="23">
        <v>35254</v>
      </c>
      <c r="H1407" s="22" t="s">
        <v>35</v>
      </c>
      <c r="I1407" s="22" t="s">
        <v>3450</v>
      </c>
      <c r="J1407" s="22" t="s">
        <v>32</v>
      </c>
      <c r="K1407" s="10" t="str">
        <f ca="1">DATEDIF('DATA PENDUDUK'!$G1407,TODAY(),"Y")&amp; " TAHUN"</f>
        <v>29 TAHUN</v>
      </c>
      <c r="L1407" s="24" t="s">
        <v>2910</v>
      </c>
    </row>
    <row r="1408" spans="1:12" ht="20.100000000000001" customHeight="1" x14ac:dyDescent="0.25">
      <c r="A1408" s="8">
        <f t="shared" si="21"/>
        <v>1405</v>
      </c>
      <c r="B1408" s="21" t="s">
        <v>3441</v>
      </c>
      <c r="C1408" s="21" t="s">
        <v>3451</v>
      </c>
      <c r="D1408" s="22" t="s">
        <v>3452</v>
      </c>
      <c r="E1408" s="22" t="s">
        <v>16</v>
      </c>
      <c r="F1408" s="22" t="s">
        <v>629</v>
      </c>
      <c r="G1408" s="23">
        <v>37905</v>
      </c>
      <c r="H1408" s="22" t="s">
        <v>35</v>
      </c>
      <c r="I1408" s="22" t="s">
        <v>31</v>
      </c>
      <c r="J1408" s="22" t="s">
        <v>32</v>
      </c>
      <c r="K1408" s="10" t="str">
        <f ca="1">DATEDIF('DATA PENDUDUK'!$G1408,TODAY(),"Y")&amp; " TAHUN"</f>
        <v>21 TAHUN</v>
      </c>
      <c r="L1408" s="24" t="s">
        <v>2910</v>
      </c>
    </row>
    <row r="1409" spans="1:12" ht="20.100000000000001" customHeight="1" x14ac:dyDescent="0.25">
      <c r="A1409" s="8">
        <f t="shared" si="21"/>
        <v>1406</v>
      </c>
      <c r="B1409" s="21" t="s">
        <v>3441</v>
      </c>
      <c r="C1409" s="21" t="s">
        <v>3453</v>
      </c>
      <c r="D1409" s="22" t="s">
        <v>3454</v>
      </c>
      <c r="E1409" s="22" t="s">
        <v>24</v>
      </c>
      <c r="F1409" s="22" t="s">
        <v>629</v>
      </c>
      <c r="G1409" s="23">
        <v>39415</v>
      </c>
      <c r="H1409" s="22" t="s">
        <v>35</v>
      </c>
      <c r="I1409" s="22" t="s">
        <v>40</v>
      </c>
      <c r="J1409" s="22" t="s">
        <v>32</v>
      </c>
      <c r="K1409" s="10" t="str">
        <f ca="1">DATEDIF('DATA PENDUDUK'!$G1409,TODAY(),"Y")&amp; " TAHUN"</f>
        <v>17 TAHUN</v>
      </c>
      <c r="L1409" s="24" t="s">
        <v>2910</v>
      </c>
    </row>
    <row r="1410" spans="1:12" ht="20.100000000000001" customHeight="1" x14ac:dyDescent="0.25">
      <c r="A1410" s="8">
        <f t="shared" si="21"/>
        <v>1407</v>
      </c>
      <c r="B1410" s="21" t="s">
        <v>3455</v>
      </c>
      <c r="C1410" s="21" t="s">
        <v>3405</v>
      </c>
      <c r="D1410" s="22" t="s">
        <v>3406</v>
      </c>
      <c r="E1410" s="22" t="s">
        <v>16</v>
      </c>
      <c r="F1410" s="22" t="s">
        <v>3407</v>
      </c>
      <c r="G1410" s="23">
        <v>31539</v>
      </c>
      <c r="H1410" s="22" t="s">
        <v>35</v>
      </c>
      <c r="I1410" s="22" t="s">
        <v>2593</v>
      </c>
      <c r="J1410" s="22" t="s">
        <v>20</v>
      </c>
      <c r="K1410" s="10" t="str">
        <f ca="1">DATEDIF('DATA PENDUDUK'!$G1410,TODAY(),"Y")&amp; " TAHUN"</f>
        <v>39 TAHUN</v>
      </c>
      <c r="L1410" s="24" t="s">
        <v>2910</v>
      </c>
    </row>
    <row r="1411" spans="1:12" ht="20.100000000000001" customHeight="1" x14ac:dyDescent="0.25">
      <c r="A1411" s="8">
        <f t="shared" si="21"/>
        <v>1408</v>
      </c>
      <c r="B1411" s="21" t="s">
        <v>3455</v>
      </c>
      <c r="C1411" s="21" t="s">
        <v>3408</v>
      </c>
      <c r="D1411" s="22" t="s">
        <v>3409</v>
      </c>
      <c r="E1411" s="22" t="s">
        <v>24</v>
      </c>
      <c r="F1411" s="22" t="s">
        <v>3083</v>
      </c>
      <c r="G1411" s="23">
        <v>34330</v>
      </c>
      <c r="H1411" s="22" t="s">
        <v>35</v>
      </c>
      <c r="I1411" s="22" t="s">
        <v>2598</v>
      </c>
      <c r="J1411" s="22" t="s">
        <v>27</v>
      </c>
      <c r="K1411" s="10" t="str">
        <f ca="1">DATEDIF('DATA PENDUDUK'!$G1411,TODAY(),"Y")&amp; " TAHUN"</f>
        <v>31 TAHUN</v>
      </c>
      <c r="L1411" s="24" t="s">
        <v>2910</v>
      </c>
    </row>
    <row r="1412" spans="1:12" ht="20.100000000000001" customHeight="1" x14ac:dyDescent="0.25">
      <c r="A1412" s="8">
        <f t="shared" si="21"/>
        <v>1409</v>
      </c>
      <c r="B1412" s="21" t="s">
        <v>3455</v>
      </c>
      <c r="C1412" s="21" t="s">
        <v>3410</v>
      </c>
      <c r="D1412" s="22" t="s">
        <v>3411</v>
      </c>
      <c r="E1412" s="22" t="s">
        <v>16</v>
      </c>
      <c r="F1412" s="22" t="s">
        <v>205</v>
      </c>
      <c r="G1412" s="23">
        <v>41747</v>
      </c>
      <c r="H1412" s="22" t="s">
        <v>35</v>
      </c>
      <c r="I1412" s="22" t="s">
        <v>40</v>
      </c>
      <c r="J1412" s="22" t="s">
        <v>32</v>
      </c>
      <c r="K1412" s="10" t="str">
        <f ca="1">DATEDIF('DATA PENDUDUK'!$G1412,TODAY(),"Y")&amp; " TAHUN"</f>
        <v>11 TAHUN</v>
      </c>
      <c r="L1412" s="24" t="s">
        <v>2910</v>
      </c>
    </row>
    <row r="1413" spans="1:12" ht="20.100000000000001" customHeight="1" x14ac:dyDescent="0.25">
      <c r="A1413" s="8">
        <f t="shared" si="21"/>
        <v>1410</v>
      </c>
      <c r="B1413" s="21" t="s">
        <v>3456</v>
      </c>
      <c r="C1413" s="21" t="s">
        <v>3457</v>
      </c>
      <c r="D1413" s="22" t="s">
        <v>3458</v>
      </c>
      <c r="E1413" s="22" t="s">
        <v>16</v>
      </c>
      <c r="F1413" s="22" t="s">
        <v>205</v>
      </c>
      <c r="G1413" s="23">
        <v>24948</v>
      </c>
      <c r="H1413" s="22" t="s">
        <v>35</v>
      </c>
      <c r="I1413" s="22" t="s">
        <v>19</v>
      </c>
      <c r="J1413" s="22" t="s">
        <v>20</v>
      </c>
      <c r="K1413" s="10" t="str">
        <f ca="1">DATEDIF('DATA PENDUDUK'!$G1413,TODAY(),"Y")&amp; " TAHUN"</f>
        <v>57 TAHUN</v>
      </c>
      <c r="L1413" s="24" t="s">
        <v>3459</v>
      </c>
    </row>
    <row r="1414" spans="1:12" ht="20.100000000000001" customHeight="1" x14ac:dyDescent="0.25">
      <c r="A1414" s="8">
        <f t="shared" ref="A1414:A1477" si="22">IF(D1414="","",ROW()-3)</f>
        <v>1411</v>
      </c>
      <c r="B1414" s="21" t="s">
        <v>3456</v>
      </c>
      <c r="C1414" s="21" t="s">
        <v>3460</v>
      </c>
      <c r="D1414" s="22" t="s">
        <v>3461</v>
      </c>
      <c r="E1414" s="22" t="s">
        <v>24</v>
      </c>
      <c r="F1414" s="22" t="s">
        <v>205</v>
      </c>
      <c r="G1414" s="23">
        <v>29351</v>
      </c>
      <c r="H1414" s="22" t="s">
        <v>35</v>
      </c>
      <c r="I1414" s="22" t="s">
        <v>2598</v>
      </c>
      <c r="J1414" s="22" t="s">
        <v>27</v>
      </c>
      <c r="K1414" s="10" t="str">
        <f ca="1">DATEDIF('DATA PENDUDUK'!$G1414,TODAY(),"Y")&amp; " TAHUN"</f>
        <v>45 TAHUN</v>
      </c>
      <c r="L1414" s="24" t="s">
        <v>3459</v>
      </c>
    </row>
    <row r="1415" spans="1:12" ht="20.100000000000001" customHeight="1" x14ac:dyDescent="0.25">
      <c r="A1415" s="8">
        <f t="shared" si="22"/>
        <v>1412</v>
      </c>
      <c r="B1415" s="21" t="s">
        <v>3456</v>
      </c>
      <c r="C1415" s="21" t="s">
        <v>3462</v>
      </c>
      <c r="D1415" s="22" t="s">
        <v>3463</v>
      </c>
      <c r="E1415" s="22" t="s">
        <v>16</v>
      </c>
      <c r="F1415" s="22" t="s">
        <v>30</v>
      </c>
      <c r="G1415" s="23">
        <v>40961</v>
      </c>
      <c r="H1415" s="22" t="s">
        <v>35</v>
      </c>
      <c r="I1415" s="22" t="s">
        <v>31</v>
      </c>
      <c r="J1415" s="22" t="s">
        <v>32</v>
      </c>
      <c r="K1415" s="10" t="str">
        <f ca="1">DATEDIF('DATA PENDUDUK'!$G1415,TODAY(),"Y")&amp; " TAHUN"</f>
        <v>13 TAHUN</v>
      </c>
      <c r="L1415" s="24" t="s">
        <v>3459</v>
      </c>
    </row>
    <row r="1416" spans="1:12" ht="20.100000000000001" customHeight="1" x14ac:dyDescent="0.25">
      <c r="A1416" s="8">
        <f t="shared" si="22"/>
        <v>1413</v>
      </c>
      <c r="B1416" s="21" t="s">
        <v>3464</v>
      </c>
      <c r="C1416" s="21" t="s">
        <v>3465</v>
      </c>
      <c r="D1416" s="22" t="s">
        <v>2467</v>
      </c>
      <c r="E1416" s="22" t="s">
        <v>16</v>
      </c>
      <c r="F1416" s="22" t="s">
        <v>3466</v>
      </c>
      <c r="G1416" s="23">
        <v>31902</v>
      </c>
      <c r="H1416" s="22" t="s">
        <v>35</v>
      </c>
      <c r="I1416" s="22" t="s">
        <v>19</v>
      </c>
      <c r="J1416" s="22" t="s">
        <v>20</v>
      </c>
      <c r="K1416" s="10" t="str">
        <f ca="1">DATEDIF('DATA PENDUDUK'!$G1416,TODAY(),"Y")&amp; " TAHUN"</f>
        <v>38 TAHUN</v>
      </c>
      <c r="L1416" s="24" t="s">
        <v>3459</v>
      </c>
    </row>
    <row r="1417" spans="1:12" ht="20.100000000000001" customHeight="1" x14ac:dyDescent="0.25">
      <c r="A1417" s="8">
        <f t="shared" si="22"/>
        <v>1414</v>
      </c>
      <c r="B1417" s="21" t="s">
        <v>3464</v>
      </c>
      <c r="C1417" s="21" t="s">
        <v>3467</v>
      </c>
      <c r="D1417" s="22" t="s">
        <v>3468</v>
      </c>
      <c r="E1417" s="22" t="s">
        <v>24</v>
      </c>
      <c r="F1417" s="22" t="s">
        <v>3469</v>
      </c>
      <c r="G1417" s="23">
        <v>28439</v>
      </c>
      <c r="H1417" s="22" t="s">
        <v>35</v>
      </c>
      <c r="I1417" s="22" t="s">
        <v>2598</v>
      </c>
      <c r="J1417" s="22" t="s">
        <v>27</v>
      </c>
      <c r="K1417" s="10" t="str">
        <f ca="1">DATEDIF('DATA PENDUDUK'!$G1417,TODAY(),"Y")&amp; " TAHUN"</f>
        <v>47 TAHUN</v>
      </c>
      <c r="L1417" s="24" t="s">
        <v>3459</v>
      </c>
    </row>
    <row r="1418" spans="1:12" ht="20.100000000000001" customHeight="1" x14ac:dyDescent="0.25">
      <c r="A1418" s="8">
        <f t="shared" si="22"/>
        <v>1415</v>
      </c>
      <c r="B1418" s="21" t="s">
        <v>3464</v>
      </c>
      <c r="C1418" s="21" t="s">
        <v>3470</v>
      </c>
      <c r="D1418" s="22" t="s">
        <v>3471</v>
      </c>
      <c r="E1418" s="22" t="s">
        <v>16</v>
      </c>
      <c r="F1418" s="22" t="s">
        <v>3466</v>
      </c>
      <c r="G1418" s="23">
        <v>36840</v>
      </c>
      <c r="H1418" s="22" t="s">
        <v>35</v>
      </c>
      <c r="I1418" s="22" t="s">
        <v>31</v>
      </c>
      <c r="J1418" s="22" t="s">
        <v>32</v>
      </c>
      <c r="K1418" s="10" t="str">
        <f ca="1">DATEDIF('DATA PENDUDUK'!$G1418,TODAY(),"Y")&amp; " TAHUN"</f>
        <v>24 TAHUN</v>
      </c>
      <c r="L1418" s="24" t="s">
        <v>3459</v>
      </c>
    </row>
    <row r="1419" spans="1:12" ht="20.100000000000001" customHeight="1" x14ac:dyDescent="0.25">
      <c r="A1419" s="8">
        <f t="shared" si="22"/>
        <v>1416</v>
      </c>
      <c r="B1419" s="21" t="s">
        <v>3464</v>
      </c>
      <c r="C1419" s="21" t="s">
        <v>3472</v>
      </c>
      <c r="D1419" s="22" t="s">
        <v>3473</v>
      </c>
      <c r="E1419" s="22" t="s">
        <v>16</v>
      </c>
      <c r="F1419" s="22" t="s">
        <v>3466</v>
      </c>
      <c r="G1419" s="23">
        <v>38191</v>
      </c>
      <c r="H1419" s="22" t="s">
        <v>35</v>
      </c>
      <c r="I1419" s="22" t="s">
        <v>31</v>
      </c>
      <c r="J1419" s="22" t="s">
        <v>32</v>
      </c>
      <c r="K1419" s="10" t="str">
        <f ca="1">DATEDIF('DATA PENDUDUK'!$G1419,TODAY(),"Y")&amp; " TAHUN"</f>
        <v>21 TAHUN</v>
      </c>
      <c r="L1419" s="24" t="s">
        <v>3459</v>
      </c>
    </row>
    <row r="1420" spans="1:12" ht="20.100000000000001" customHeight="1" x14ac:dyDescent="0.25">
      <c r="A1420" s="8">
        <f t="shared" si="22"/>
        <v>1417</v>
      </c>
      <c r="B1420" s="21" t="s">
        <v>3464</v>
      </c>
      <c r="C1420" s="21" t="s">
        <v>3474</v>
      </c>
      <c r="D1420" s="22" t="s">
        <v>3475</v>
      </c>
      <c r="E1420" s="22" t="s">
        <v>24</v>
      </c>
      <c r="F1420" s="22" t="s">
        <v>3466</v>
      </c>
      <c r="G1420" s="23">
        <v>39005</v>
      </c>
      <c r="H1420" s="22" t="s">
        <v>35</v>
      </c>
      <c r="I1420" s="22" t="s">
        <v>3476</v>
      </c>
      <c r="J1420" s="22" t="s">
        <v>32</v>
      </c>
      <c r="K1420" s="10" t="str">
        <f ca="1">DATEDIF('DATA PENDUDUK'!$G1420,TODAY(),"Y")&amp; " TAHUN"</f>
        <v>18 TAHUN</v>
      </c>
      <c r="L1420" s="24" t="s">
        <v>3459</v>
      </c>
    </row>
    <row r="1421" spans="1:12" ht="20.100000000000001" customHeight="1" x14ac:dyDescent="0.25">
      <c r="A1421" s="8">
        <f t="shared" si="22"/>
        <v>1418</v>
      </c>
      <c r="B1421" s="21" t="s">
        <v>3477</v>
      </c>
      <c r="C1421" s="21" t="s">
        <v>3478</v>
      </c>
      <c r="D1421" s="22" t="s">
        <v>3479</v>
      </c>
      <c r="E1421" s="22" t="s">
        <v>16</v>
      </c>
      <c r="F1421" s="22" t="s">
        <v>3480</v>
      </c>
      <c r="G1421" s="23">
        <v>27953</v>
      </c>
      <c r="H1421" s="22" t="s">
        <v>35</v>
      </c>
      <c r="I1421" s="22" t="s">
        <v>19</v>
      </c>
      <c r="J1421" s="22" t="s">
        <v>20</v>
      </c>
      <c r="K1421" s="10" t="str">
        <f ca="1">DATEDIF('DATA PENDUDUK'!$G1421,TODAY(),"Y")&amp; " TAHUN"</f>
        <v>49 TAHUN</v>
      </c>
      <c r="L1421" s="24" t="s">
        <v>3459</v>
      </c>
    </row>
    <row r="1422" spans="1:12" ht="20.100000000000001" customHeight="1" x14ac:dyDescent="0.25">
      <c r="A1422" s="8">
        <f t="shared" si="22"/>
        <v>1419</v>
      </c>
      <c r="B1422" s="21" t="s">
        <v>3477</v>
      </c>
      <c r="C1422" s="21" t="s">
        <v>3481</v>
      </c>
      <c r="D1422" s="22" t="s">
        <v>3482</v>
      </c>
      <c r="E1422" s="22" t="s">
        <v>24</v>
      </c>
      <c r="F1422" s="22" t="s">
        <v>3483</v>
      </c>
      <c r="G1422" s="23">
        <v>27808</v>
      </c>
      <c r="H1422" s="22" t="s">
        <v>35</v>
      </c>
      <c r="I1422" s="22" t="s">
        <v>2598</v>
      </c>
      <c r="J1422" s="22" t="s">
        <v>27</v>
      </c>
      <c r="K1422" s="10" t="str">
        <f ca="1">DATEDIF('DATA PENDUDUK'!$G1422,TODAY(),"Y")&amp; " TAHUN"</f>
        <v>49 TAHUN</v>
      </c>
      <c r="L1422" s="24" t="s">
        <v>3459</v>
      </c>
    </row>
    <row r="1423" spans="1:12" ht="20.100000000000001" customHeight="1" x14ac:dyDescent="0.25">
      <c r="A1423" s="8">
        <f t="shared" si="22"/>
        <v>1420</v>
      </c>
      <c r="B1423" s="21" t="s">
        <v>3477</v>
      </c>
      <c r="C1423" s="21" t="s">
        <v>3484</v>
      </c>
      <c r="D1423" s="22" t="s">
        <v>3485</v>
      </c>
      <c r="E1423" s="22" t="s">
        <v>24</v>
      </c>
      <c r="F1423" s="22" t="s">
        <v>3480</v>
      </c>
      <c r="G1423" s="23">
        <v>36997</v>
      </c>
      <c r="H1423" s="22" t="s">
        <v>35</v>
      </c>
      <c r="I1423" s="22" t="s">
        <v>31</v>
      </c>
      <c r="J1423" s="22" t="s">
        <v>32</v>
      </c>
      <c r="K1423" s="10" t="str">
        <f ca="1">DATEDIF('DATA PENDUDUK'!$G1423,TODAY(),"Y")&amp; " TAHUN"</f>
        <v>24 TAHUN</v>
      </c>
      <c r="L1423" s="24" t="s">
        <v>3459</v>
      </c>
    </row>
    <row r="1424" spans="1:12" ht="20.100000000000001" customHeight="1" x14ac:dyDescent="0.25">
      <c r="A1424" s="8">
        <f t="shared" si="22"/>
        <v>1421</v>
      </c>
      <c r="B1424" s="21" t="s">
        <v>3477</v>
      </c>
      <c r="C1424" s="21" t="s">
        <v>3486</v>
      </c>
      <c r="D1424" s="22" t="s">
        <v>3487</v>
      </c>
      <c r="E1424" s="22" t="s">
        <v>16</v>
      </c>
      <c r="F1424" s="22" t="s">
        <v>3480</v>
      </c>
      <c r="G1424" s="23">
        <v>37591</v>
      </c>
      <c r="H1424" s="22" t="s">
        <v>35</v>
      </c>
      <c r="I1424" s="22" t="s">
        <v>31</v>
      </c>
      <c r="J1424" s="22" t="s">
        <v>32</v>
      </c>
      <c r="K1424" s="10" t="str">
        <f ca="1">DATEDIF('DATA PENDUDUK'!$G1424,TODAY(),"Y")&amp; " TAHUN"</f>
        <v>22 TAHUN</v>
      </c>
      <c r="L1424" s="24" t="s">
        <v>3459</v>
      </c>
    </row>
    <row r="1425" spans="1:12" ht="20.100000000000001" customHeight="1" x14ac:dyDescent="0.25">
      <c r="A1425" s="8">
        <f t="shared" si="22"/>
        <v>1422</v>
      </c>
      <c r="B1425" s="21" t="s">
        <v>3477</v>
      </c>
      <c r="C1425" s="21" t="s">
        <v>3488</v>
      </c>
      <c r="D1425" s="22" t="s">
        <v>3489</v>
      </c>
      <c r="E1425" s="22" t="s">
        <v>24</v>
      </c>
      <c r="F1425" s="22" t="s">
        <v>3483</v>
      </c>
      <c r="G1425" s="23">
        <v>38823</v>
      </c>
      <c r="H1425" s="22" t="s">
        <v>35</v>
      </c>
      <c r="I1425" s="22" t="s">
        <v>31</v>
      </c>
      <c r="J1425" s="22" t="s">
        <v>32</v>
      </c>
      <c r="K1425" s="10" t="str">
        <f ca="1">DATEDIF('DATA PENDUDUK'!$G1425,TODAY(),"Y")&amp; " TAHUN"</f>
        <v>19 TAHUN</v>
      </c>
      <c r="L1425" s="24" t="s">
        <v>3459</v>
      </c>
    </row>
    <row r="1426" spans="1:12" ht="20.100000000000001" customHeight="1" x14ac:dyDescent="0.25">
      <c r="A1426" s="8">
        <f t="shared" si="22"/>
        <v>1423</v>
      </c>
      <c r="B1426" s="21" t="s">
        <v>3490</v>
      </c>
      <c r="C1426" s="21" t="s">
        <v>3491</v>
      </c>
      <c r="D1426" s="22" t="s">
        <v>3492</v>
      </c>
      <c r="E1426" s="22" t="s">
        <v>16</v>
      </c>
      <c r="F1426" s="22" t="s">
        <v>846</v>
      </c>
      <c r="G1426" s="23">
        <v>25631</v>
      </c>
      <c r="H1426" s="22" t="s">
        <v>18</v>
      </c>
      <c r="I1426" s="22" t="s">
        <v>3026</v>
      </c>
      <c r="J1426" s="22" t="s">
        <v>20</v>
      </c>
      <c r="K1426" s="10" t="str">
        <f ca="1">DATEDIF('DATA PENDUDUK'!$G1426,TODAY(),"Y")&amp; " TAHUN"</f>
        <v>55 TAHUN</v>
      </c>
      <c r="L1426" s="24" t="s">
        <v>3459</v>
      </c>
    </row>
    <row r="1427" spans="1:12" ht="20.100000000000001" customHeight="1" x14ac:dyDescent="0.25">
      <c r="A1427" s="8">
        <f t="shared" si="22"/>
        <v>1424</v>
      </c>
      <c r="B1427" s="21" t="s">
        <v>3490</v>
      </c>
      <c r="C1427" s="21" t="s">
        <v>3493</v>
      </c>
      <c r="D1427" s="22" t="s">
        <v>3494</v>
      </c>
      <c r="E1427" s="22" t="s">
        <v>24</v>
      </c>
      <c r="F1427" s="22" t="s">
        <v>3495</v>
      </c>
      <c r="G1427" s="23">
        <v>26597</v>
      </c>
      <c r="H1427" s="22" t="s">
        <v>18</v>
      </c>
      <c r="I1427" s="22" t="s">
        <v>73</v>
      </c>
      <c r="J1427" s="22" t="s">
        <v>27</v>
      </c>
      <c r="K1427" s="10" t="str">
        <f ca="1">DATEDIF('DATA PENDUDUK'!$G1427,TODAY(),"Y")&amp; " TAHUN"</f>
        <v>52 TAHUN</v>
      </c>
      <c r="L1427" s="24" t="s">
        <v>3459</v>
      </c>
    </row>
    <row r="1428" spans="1:12" ht="20.100000000000001" customHeight="1" x14ac:dyDescent="0.25">
      <c r="A1428" s="8">
        <f t="shared" si="22"/>
        <v>1425</v>
      </c>
      <c r="B1428" s="21" t="s">
        <v>3490</v>
      </c>
      <c r="C1428" s="21" t="s">
        <v>3496</v>
      </c>
      <c r="D1428" s="22" t="s">
        <v>3497</v>
      </c>
      <c r="E1428" s="22" t="s">
        <v>16</v>
      </c>
      <c r="F1428" s="22" t="s">
        <v>846</v>
      </c>
      <c r="G1428" s="23">
        <v>35046</v>
      </c>
      <c r="H1428" s="22" t="s">
        <v>18</v>
      </c>
      <c r="I1428" s="22" t="s">
        <v>31</v>
      </c>
      <c r="J1428" s="22" t="s">
        <v>32</v>
      </c>
      <c r="K1428" s="10" t="str">
        <f ca="1">DATEDIF('DATA PENDUDUK'!$G1428,TODAY(),"Y")&amp; " TAHUN"</f>
        <v>29 TAHUN</v>
      </c>
      <c r="L1428" s="24" t="s">
        <v>3459</v>
      </c>
    </row>
    <row r="1429" spans="1:12" ht="20.100000000000001" customHeight="1" x14ac:dyDescent="0.25">
      <c r="A1429" s="8">
        <f t="shared" si="22"/>
        <v>1426</v>
      </c>
      <c r="B1429" s="21" t="s">
        <v>3490</v>
      </c>
      <c r="C1429" s="21" t="s">
        <v>3498</v>
      </c>
      <c r="D1429" s="22" t="s">
        <v>3499</v>
      </c>
      <c r="E1429" s="22" t="s">
        <v>24</v>
      </c>
      <c r="F1429" s="22" t="s">
        <v>846</v>
      </c>
      <c r="G1429" s="23">
        <v>36146</v>
      </c>
      <c r="H1429" s="22" t="s">
        <v>18</v>
      </c>
      <c r="I1429" s="22" t="s">
        <v>31</v>
      </c>
      <c r="J1429" s="22" t="s">
        <v>32</v>
      </c>
      <c r="K1429" s="10" t="str">
        <f ca="1">DATEDIF('DATA PENDUDUK'!$G1429,TODAY(),"Y")&amp; " TAHUN"</f>
        <v>26 TAHUN</v>
      </c>
      <c r="L1429" s="24" t="s">
        <v>3459</v>
      </c>
    </row>
    <row r="1430" spans="1:12" ht="20.100000000000001" customHeight="1" x14ac:dyDescent="0.25">
      <c r="A1430" s="8">
        <f t="shared" si="22"/>
        <v>1427</v>
      </c>
      <c r="B1430" s="21" t="s">
        <v>3490</v>
      </c>
      <c r="C1430" s="21" t="s">
        <v>3500</v>
      </c>
      <c r="D1430" s="22" t="s">
        <v>3501</v>
      </c>
      <c r="E1430" s="22" t="s">
        <v>16</v>
      </c>
      <c r="F1430" s="22" t="s">
        <v>846</v>
      </c>
      <c r="G1430" s="23">
        <v>32998</v>
      </c>
      <c r="H1430" s="22" t="s">
        <v>18</v>
      </c>
      <c r="I1430" s="22" t="s">
        <v>40</v>
      </c>
      <c r="J1430" s="22" t="s">
        <v>37</v>
      </c>
      <c r="K1430" s="10" t="str">
        <f ca="1">DATEDIF('DATA PENDUDUK'!$G1430,TODAY(),"Y")&amp; " TAHUN"</f>
        <v>35 TAHUN</v>
      </c>
      <c r="L1430" s="24" t="s">
        <v>3459</v>
      </c>
    </row>
    <row r="1431" spans="1:12" ht="20.100000000000001" customHeight="1" x14ac:dyDescent="0.25">
      <c r="A1431" s="8">
        <f t="shared" si="22"/>
        <v>1428</v>
      </c>
      <c r="B1431" s="21" t="s">
        <v>3490</v>
      </c>
      <c r="C1431" s="21" t="s">
        <v>3502</v>
      </c>
      <c r="D1431" s="22" t="s">
        <v>3503</v>
      </c>
      <c r="E1431" s="22" t="s">
        <v>24</v>
      </c>
      <c r="F1431" s="22" t="s">
        <v>3504</v>
      </c>
      <c r="G1431" s="23">
        <v>34613</v>
      </c>
      <c r="H1431" s="22" t="s">
        <v>18</v>
      </c>
      <c r="I1431" s="22" t="s">
        <v>31</v>
      </c>
      <c r="J1431" s="22" t="s">
        <v>37</v>
      </c>
      <c r="K1431" s="10" t="str">
        <f ca="1">DATEDIF('DATA PENDUDUK'!$G1431,TODAY(),"Y")&amp; " TAHUN"</f>
        <v>30 TAHUN</v>
      </c>
      <c r="L1431" s="24" t="s">
        <v>3459</v>
      </c>
    </row>
    <row r="1432" spans="1:12" ht="20.100000000000001" customHeight="1" x14ac:dyDescent="0.25">
      <c r="A1432" s="8">
        <f t="shared" si="22"/>
        <v>1429</v>
      </c>
      <c r="B1432" s="21" t="s">
        <v>3505</v>
      </c>
      <c r="C1432" s="21" t="s">
        <v>3506</v>
      </c>
      <c r="D1432" s="22" t="s">
        <v>3507</v>
      </c>
      <c r="E1432" s="22" t="s">
        <v>16</v>
      </c>
      <c r="F1432" s="22" t="s">
        <v>3508</v>
      </c>
      <c r="G1432" s="23">
        <v>29556</v>
      </c>
      <c r="H1432" s="22" t="s">
        <v>438</v>
      </c>
      <c r="I1432" s="22" t="s">
        <v>19</v>
      </c>
      <c r="J1432" s="22" t="s">
        <v>20</v>
      </c>
      <c r="K1432" s="10" t="str">
        <f ca="1">DATEDIF('DATA PENDUDUK'!$G1432,TODAY(),"Y")&amp; " TAHUN"</f>
        <v>44 TAHUN</v>
      </c>
      <c r="L1432" s="24" t="s">
        <v>3459</v>
      </c>
    </row>
    <row r="1433" spans="1:12" ht="20.100000000000001" customHeight="1" x14ac:dyDescent="0.25">
      <c r="A1433" s="8">
        <f t="shared" si="22"/>
        <v>1430</v>
      </c>
      <c r="B1433" s="21" t="s">
        <v>3505</v>
      </c>
      <c r="C1433" s="21" t="s">
        <v>3509</v>
      </c>
      <c r="D1433" s="22" t="s">
        <v>3510</v>
      </c>
      <c r="E1433" s="22" t="s">
        <v>24</v>
      </c>
      <c r="F1433" s="22" t="s">
        <v>3511</v>
      </c>
      <c r="G1433" s="23">
        <v>32603</v>
      </c>
      <c r="H1433" s="22" t="s">
        <v>438</v>
      </c>
      <c r="I1433" s="22" t="s">
        <v>2598</v>
      </c>
      <c r="J1433" s="22" t="s">
        <v>27</v>
      </c>
      <c r="K1433" s="10" t="str">
        <f ca="1">DATEDIF('DATA PENDUDUK'!$G1433,TODAY(),"Y")&amp; " TAHUN"</f>
        <v>36 TAHUN</v>
      </c>
      <c r="L1433" s="24" t="s">
        <v>3459</v>
      </c>
    </row>
    <row r="1434" spans="1:12" ht="20.100000000000001" customHeight="1" x14ac:dyDescent="0.25">
      <c r="A1434" s="8">
        <f t="shared" si="22"/>
        <v>1431</v>
      </c>
      <c r="B1434" s="21" t="s">
        <v>3505</v>
      </c>
      <c r="C1434" s="21" t="s">
        <v>3512</v>
      </c>
      <c r="D1434" s="22" t="s">
        <v>3513</v>
      </c>
      <c r="E1434" s="22" t="s">
        <v>16</v>
      </c>
      <c r="F1434" s="22" t="s">
        <v>30</v>
      </c>
      <c r="G1434" s="23">
        <v>39723</v>
      </c>
      <c r="H1434" s="22" t="s">
        <v>438</v>
      </c>
      <c r="I1434" s="22" t="s">
        <v>40</v>
      </c>
      <c r="J1434" s="22" t="s">
        <v>32</v>
      </c>
      <c r="K1434" s="10" t="str">
        <f ca="1">DATEDIF('DATA PENDUDUK'!$G1434,TODAY(),"Y")&amp; " TAHUN"</f>
        <v>16 TAHUN</v>
      </c>
      <c r="L1434" s="24" t="s">
        <v>3459</v>
      </c>
    </row>
    <row r="1435" spans="1:12" ht="20.100000000000001" customHeight="1" x14ac:dyDescent="0.25">
      <c r="A1435" s="8">
        <f t="shared" si="22"/>
        <v>1432</v>
      </c>
      <c r="B1435" s="21" t="s">
        <v>3505</v>
      </c>
      <c r="C1435" s="21" t="s">
        <v>3514</v>
      </c>
      <c r="D1435" s="22" t="s">
        <v>3515</v>
      </c>
      <c r="E1435" s="22" t="s">
        <v>16</v>
      </c>
      <c r="F1435" s="22" t="s">
        <v>3511</v>
      </c>
      <c r="G1435" s="23">
        <v>41148</v>
      </c>
      <c r="H1435" s="22" t="s">
        <v>438</v>
      </c>
      <c r="I1435" s="22" t="s">
        <v>40</v>
      </c>
      <c r="J1435" s="22" t="s">
        <v>32</v>
      </c>
      <c r="K1435" s="10" t="str">
        <f ca="1">DATEDIF('DATA PENDUDUK'!$G1435,TODAY(),"Y")&amp; " TAHUN"</f>
        <v>12 TAHUN</v>
      </c>
      <c r="L1435" s="24" t="s">
        <v>3459</v>
      </c>
    </row>
    <row r="1436" spans="1:12" ht="20.100000000000001" customHeight="1" x14ac:dyDescent="0.25">
      <c r="A1436" s="8">
        <f t="shared" si="22"/>
        <v>1433</v>
      </c>
      <c r="B1436" s="21" t="s">
        <v>3505</v>
      </c>
      <c r="C1436" s="21" t="s">
        <v>3516</v>
      </c>
      <c r="D1436" s="22" t="s">
        <v>3517</v>
      </c>
      <c r="E1436" s="22" t="s">
        <v>24</v>
      </c>
      <c r="F1436" s="22" t="s">
        <v>3518</v>
      </c>
      <c r="G1436" s="23">
        <v>43394</v>
      </c>
      <c r="H1436" s="22" t="s">
        <v>3519</v>
      </c>
      <c r="I1436" s="22" t="s">
        <v>40</v>
      </c>
      <c r="J1436" s="22" t="s">
        <v>32</v>
      </c>
      <c r="K1436" s="10" t="str">
        <f ca="1">DATEDIF('DATA PENDUDUK'!$G1436,TODAY(),"Y")&amp; " TAHUN"</f>
        <v>6 TAHUN</v>
      </c>
      <c r="L1436" s="24" t="s">
        <v>3459</v>
      </c>
    </row>
    <row r="1437" spans="1:12" ht="20.100000000000001" customHeight="1" x14ac:dyDescent="0.25">
      <c r="A1437" s="8">
        <f t="shared" si="22"/>
        <v>1434</v>
      </c>
      <c r="B1437" s="21" t="s">
        <v>3505</v>
      </c>
      <c r="C1437" s="21" t="s">
        <v>3520</v>
      </c>
      <c r="D1437" s="22" t="s">
        <v>3521</v>
      </c>
      <c r="E1437" s="22" t="s">
        <v>24</v>
      </c>
      <c r="F1437" s="22" t="s">
        <v>3522</v>
      </c>
      <c r="G1437" s="23">
        <v>37605</v>
      </c>
      <c r="H1437" s="22" t="s">
        <v>438</v>
      </c>
      <c r="I1437" s="22" t="s">
        <v>31</v>
      </c>
      <c r="J1437" s="22" t="s">
        <v>37</v>
      </c>
      <c r="K1437" s="10" t="str">
        <f ca="1">DATEDIF('DATA PENDUDUK'!$G1437,TODAY(),"Y")&amp; " TAHUN"</f>
        <v>22 TAHUN</v>
      </c>
      <c r="L1437" s="24" t="s">
        <v>3459</v>
      </c>
    </row>
    <row r="1438" spans="1:12" ht="20.100000000000001" customHeight="1" x14ac:dyDescent="0.25">
      <c r="A1438" s="8">
        <f t="shared" si="22"/>
        <v>1435</v>
      </c>
      <c r="B1438" s="21" t="s">
        <v>3523</v>
      </c>
      <c r="C1438" s="21" t="s">
        <v>3524</v>
      </c>
      <c r="D1438" s="22" t="s">
        <v>3525</v>
      </c>
      <c r="E1438" s="22" t="s">
        <v>16</v>
      </c>
      <c r="F1438" s="22" t="s">
        <v>3526</v>
      </c>
      <c r="G1438" s="23">
        <v>31506</v>
      </c>
      <c r="H1438" s="22" t="s">
        <v>3527</v>
      </c>
      <c r="I1438" s="22" t="s">
        <v>3528</v>
      </c>
      <c r="J1438" s="22" t="s">
        <v>20</v>
      </c>
      <c r="K1438" s="10" t="str">
        <f ca="1">DATEDIF('DATA PENDUDUK'!$G1438,TODAY(),"Y")&amp; " TAHUN"</f>
        <v>39 TAHUN</v>
      </c>
      <c r="L1438" s="24" t="s">
        <v>3459</v>
      </c>
    </row>
    <row r="1439" spans="1:12" ht="20.100000000000001" customHeight="1" x14ac:dyDescent="0.25">
      <c r="A1439" s="8">
        <f t="shared" si="22"/>
        <v>1436</v>
      </c>
      <c r="B1439" s="21" t="s">
        <v>3523</v>
      </c>
      <c r="C1439" s="21" t="s">
        <v>3529</v>
      </c>
      <c r="D1439" s="22" t="s">
        <v>3530</v>
      </c>
      <c r="E1439" s="22" t="s">
        <v>24</v>
      </c>
      <c r="F1439" s="22" t="s">
        <v>3531</v>
      </c>
      <c r="G1439" s="23">
        <v>30550</v>
      </c>
      <c r="H1439" s="22" t="s">
        <v>3527</v>
      </c>
      <c r="I1439" s="22" t="s">
        <v>1302</v>
      </c>
      <c r="J1439" s="22" t="s">
        <v>27</v>
      </c>
      <c r="K1439" s="10" t="str">
        <f ca="1">DATEDIF('DATA PENDUDUK'!$G1439,TODAY(),"Y")&amp; " TAHUN"</f>
        <v>41 TAHUN</v>
      </c>
      <c r="L1439" s="24" t="s">
        <v>3459</v>
      </c>
    </row>
    <row r="1440" spans="1:12" ht="20.100000000000001" customHeight="1" x14ac:dyDescent="0.25">
      <c r="A1440" s="8">
        <f t="shared" si="22"/>
        <v>1437</v>
      </c>
      <c r="B1440" s="21" t="s">
        <v>3523</v>
      </c>
      <c r="C1440" s="21" t="s">
        <v>3532</v>
      </c>
      <c r="D1440" s="22" t="s">
        <v>3533</v>
      </c>
      <c r="E1440" s="22" t="s">
        <v>24</v>
      </c>
      <c r="F1440" s="22" t="s">
        <v>3534</v>
      </c>
      <c r="G1440" s="23">
        <v>41038</v>
      </c>
      <c r="H1440" s="22" t="s">
        <v>18</v>
      </c>
      <c r="I1440" s="22" t="s">
        <v>40</v>
      </c>
      <c r="J1440" s="22" t="s">
        <v>32</v>
      </c>
      <c r="K1440" s="10" t="str">
        <f ca="1">DATEDIF('DATA PENDUDUK'!$G1440,TODAY(),"Y")&amp; " TAHUN"</f>
        <v>13 TAHUN</v>
      </c>
      <c r="L1440" s="24" t="s">
        <v>3459</v>
      </c>
    </row>
    <row r="1441" spans="1:12" ht="20.100000000000001" customHeight="1" x14ac:dyDescent="0.25">
      <c r="A1441" s="8">
        <f t="shared" si="22"/>
        <v>1438</v>
      </c>
      <c r="B1441" s="21" t="s">
        <v>3523</v>
      </c>
      <c r="C1441" s="21" t="s">
        <v>3535</v>
      </c>
      <c r="D1441" s="22" t="s">
        <v>3536</v>
      </c>
      <c r="E1441" s="22" t="s">
        <v>16</v>
      </c>
      <c r="F1441" s="22" t="s">
        <v>3537</v>
      </c>
      <c r="G1441" s="23">
        <v>34617</v>
      </c>
      <c r="H1441" s="22" t="s">
        <v>18</v>
      </c>
      <c r="I1441" s="22" t="s">
        <v>40</v>
      </c>
      <c r="J1441" s="22" t="s">
        <v>37</v>
      </c>
      <c r="K1441" s="10" t="str">
        <f ca="1">DATEDIF('DATA PENDUDUK'!$G1441,TODAY(),"Y")&amp; " TAHUN"</f>
        <v>30 TAHUN</v>
      </c>
      <c r="L1441" s="24" t="s">
        <v>3459</v>
      </c>
    </row>
    <row r="1442" spans="1:12" ht="20.100000000000001" customHeight="1" x14ac:dyDescent="0.25">
      <c r="A1442" s="8">
        <f t="shared" si="22"/>
        <v>1439</v>
      </c>
      <c r="B1442" s="21" t="s">
        <v>3523</v>
      </c>
      <c r="C1442" s="21" t="s">
        <v>3538</v>
      </c>
      <c r="D1442" s="22" t="s">
        <v>3539</v>
      </c>
      <c r="E1442" s="22" t="s">
        <v>24</v>
      </c>
      <c r="F1442" s="22" t="s">
        <v>3540</v>
      </c>
      <c r="G1442" s="23">
        <v>35628</v>
      </c>
      <c r="H1442" s="22" t="s">
        <v>18</v>
      </c>
      <c r="I1442" s="22" t="s">
        <v>31</v>
      </c>
      <c r="J1442" s="22" t="s">
        <v>37</v>
      </c>
      <c r="K1442" s="10" t="str">
        <f ca="1">DATEDIF('DATA PENDUDUK'!$G1442,TODAY(),"Y")&amp; " TAHUN"</f>
        <v>28 TAHUN</v>
      </c>
      <c r="L1442" s="24" t="s">
        <v>3459</v>
      </c>
    </row>
    <row r="1443" spans="1:12" ht="20.100000000000001" customHeight="1" x14ac:dyDescent="0.25">
      <c r="A1443" s="8">
        <f t="shared" si="22"/>
        <v>1440</v>
      </c>
      <c r="B1443" s="21" t="s">
        <v>3541</v>
      </c>
      <c r="C1443" s="21" t="s">
        <v>3542</v>
      </c>
      <c r="D1443" s="22" t="s">
        <v>3543</v>
      </c>
      <c r="E1443" s="22" t="s">
        <v>16</v>
      </c>
      <c r="F1443" s="22" t="s">
        <v>353</v>
      </c>
      <c r="G1443" s="23">
        <v>31580</v>
      </c>
      <c r="H1443" s="22" t="s">
        <v>35</v>
      </c>
      <c r="I1443" s="22" t="s">
        <v>19</v>
      </c>
      <c r="J1443" s="22" t="s">
        <v>20</v>
      </c>
      <c r="K1443" s="10" t="str">
        <f ca="1">DATEDIF('DATA PENDUDUK'!$G1443,TODAY(),"Y")&amp; " TAHUN"</f>
        <v>39 TAHUN</v>
      </c>
      <c r="L1443" s="24" t="s">
        <v>3459</v>
      </c>
    </row>
    <row r="1444" spans="1:12" ht="20.100000000000001" customHeight="1" x14ac:dyDescent="0.25">
      <c r="A1444" s="8">
        <f t="shared" si="22"/>
        <v>1441</v>
      </c>
      <c r="B1444" s="21" t="s">
        <v>3541</v>
      </c>
      <c r="C1444" s="21" t="s">
        <v>3544</v>
      </c>
      <c r="D1444" s="22" t="s">
        <v>3545</v>
      </c>
      <c r="E1444" s="22" t="s">
        <v>24</v>
      </c>
      <c r="F1444" s="22" t="s">
        <v>2973</v>
      </c>
      <c r="G1444" s="23">
        <v>23924</v>
      </c>
      <c r="H1444" s="22" t="s">
        <v>35</v>
      </c>
      <c r="I1444" s="22" t="s">
        <v>2598</v>
      </c>
      <c r="J1444" s="22" t="s">
        <v>27</v>
      </c>
      <c r="K1444" s="10" t="str">
        <f ca="1">DATEDIF('DATA PENDUDUK'!$G1444,TODAY(),"Y")&amp; " TAHUN"</f>
        <v>60 TAHUN</v>
      </c>
      <c r="L1444" s="24" t="s">
        <v>3459</v>
      </c>
    </row>
    <row r="1445" spans="1:12" ht="20.100000000000001" customHeight="1" x14ac:dyDescent="0.25">
      <c r="A1445" s="8">
        <f t="shared" si="22"/>
        <v>1442</v>
      </c>
      <c r="B1445" s="21" t="s">
        <v>3541</v>
      </c>
      <c r="C1445" s="21" t="s">
        <v>3546</v>
      </c>
      <c r="D1445" s="22" t="s">
        <v>3547</v>
      </c>
      <c r="E1445" s="22" t="s">
        <v>24</v>
      </c>
      <c r="F1445" s="22" t="s">
        <v>2973</v>
      </c>
      <c r="G1445" s="23">
        <v>33420</v>
      </c>
      <c r="H1445" s="22" t="s">
        <v>35</v>
      </c>
      <c r="I1445" s="22" t="s">
        <v>31</v>
      </c>
      <c r="J1445" s="22" t="s">
        <v>32</v>
      </c>
      <c r="K1445" s="10" t="str">
        <f ca="1">DATEDIF('DATA PENDUDUK'!$G1445,TODAY(),"Y")&amp; " TAHUN"</f>
        <v>34 TAHUN</v>
      </c>
      <c r="L1445" s="24" t="s">
        <v>3459</v>
      </c>
    </row>
    <row r="1446" spans="1:12" ht="20.100000000000001" customHeight="1" x14ac:dyDescent="0.25">
      <c r="A1446" s="8">
        <f t="shared" si="22"/>
        <v>1443</v>
      </c>
      <c r="B1446" s="21" t="s">
        <v>3541</v>
      </c>
      <c r="C1446" s="21" t="s">
        <v>3548</v>
      </c>
      <c r="D1446" s="22" t="s">
        <v>3549</v>
      </c>
      <c r="E1446" s="22" t="s">
        <v>24</v>
      </c>
      <c r="F1446" s="22" t="s">
        <v>2973</v>
      </c>
      <c r="G1446" s="23">
        <v>35977</v>
      </c>
      <c r="H1446" s="22" t="s">
        <v>35</v>
      </c>
      <c r="I1446" s="22" t="s">
        <v>31</v>
      </c>
      <c r="J1446" s="22" t="s">
        <v>32</v>
      </c>
      <c r="K1446" s="10" t="str">
        <f ca="1">DATEDIF('DATA PENDUDUK'!$G1446,TODAY(),"Y")&amp; " TAHUN"</f>
        <v>27 TAHUN</v>
      </c>
      <c r="L1446" s="24" t="s">
        <v>3459</v>
      </c>
    </row>
    <row r="1447" spans="1:12" ht="20.100000000000001" customHeight="1" x14ac:dyDescent="0.25">
      <c r="A1447" s="8">
        <f t="shared" si="22"/>
        <v>1444</v>
      </c>
      <c r="B1447" s="21" t="s">
        <v>3550</v>
      </c>
      <c r="C1447" s="21" t="s">
        <v>3551</v>
      </c>
      <c r="D1447" s="22" t="s">
        <v>3552</v>
      </c>
      <c r="E1447" s="22" t="s">
        <v>16</v>
      </c>
      <c r="F1447" s="22" t="s">
        <v>3553</v>
      </c>
      <c r="G1447" s="23">
        <v>31650</v>
      </c>
      <c r="H1447" s="22" t="s">
        <v>18</v>
      </c>
      <c r="I1447" s="22" t="s">
        <v>3528</v>
      </c>
      <c r="J1447" s="22" t="s">
        <v>20</v>
      </c>
      <c r="K1447" s="10" t="str">
        <f ca="1">DATEDIF('DATA PENDUDUK'!$G1447,TODAY(),"Y")&amp; " TAHUN"</f>
        <v>38 TAHUN</v>
      </c>
      <c r="L1447" s="24" t="s">
        <v>3459</v>
      </c>
    </row>
    <row r="1448" spans="1:12" ht="20.100000000000001" customHeight="1" x14ac:dyDescent="0.25">
      <c r="A1448" s="8">
        <f t="shared" si="22"/>
        <v>1445</v>
      </c>
      <c r="B1448" s="21" t="s">
        <v>3550</v>
      </c>
      <c r="C1448" s="21" t="s">
        <v>3554</v>
      </c>
      <c r="D1448" s="22" t="s">
        <v>3555</v>
      </c>
      <c r="E1448" s="22" t="s">
        <v>24</v>
      </c>
      <c r="F1448" s="22" t="s">
        <v>3556</v>
      </c>
      <c r="G1448" s="23">
        <v>32571</v>
      </c>
      <c r="H1448" s="22" t="s">
        <v>18</v>
      </c>
      <c r="I1448" s="22" t="s">
        <v>1813</v>
      </c>
      <c r="J1448" s="22" t="s">
        <v>27</v>
      </c>
      <c r="K1448" s="10" t="str">
        <f ca="1">DATEDIF('DATA PENDUDUK'!$G1448,TODAY(),"Y")&amp; " TAHUN"</f>
        <v>36 TAHUN</v>
      </c>
      <c r="L1448" s="24" t="s">
        <v>3459</v>
      </c>
    </row>
    <row r="1449" spans="1:12" ht="20.100000000000001" customHeight="1" x14ac:dyDescent="0.25">
      <c r="A1449" s="8">
        <f t="shared" si="22"/>
        <v>1446</v>
      </c>
      <c r="B1449" s="21" t="s">
        <v>3550</v>
      </c>
      <c r="C1449" s="21" t="s">
        <v>3557</v>
      </c>
      <c r="D1449" s="22" t="s">
        <v>3558</v>
      </c>
      <c r="E1449" s="22" t="s">
        <v>16</v>
      </c>
      <c r="F1449" s="22" t="s">
        <v>3553</v>
      </c>
      <c r="G1449" s="23">
        <v>25633</v>
      </c>
      <c r="H1449" s="22" t="s">
        <v>438</v>
      </c>
      <c r="I1449" s="22" t="s">
        <v>40</v>
      </c>
      <c r="J1449" s="22" t="s">
        <v>37</v>
      </c>
      <c r="K1449" s="10" t="str">
        <f ca="1">DATEDIF('DATA PENDUDUK'!$G1449,TODAY(),"Y")&amp; " TAHUN"</f>
        <v>55 TAHUN</v>
      </c>
      <c r="L1449" s="24" t="s">
        <v>3459</v>
      </c>
    </row>
    <row r="1450" spans="1:12" ht="20.100000000000001" customHeight="1" x14ac:dyDescent="0.25">
      <c r="A1450" s="8">
        <f t="shared" si="22"/>
        <v>1447</v>
      </c>
      <c r="B1450" s="21" t="s">
        <v>3550</v>
      </c>
      <c r="C1450" s="21" t="s">
        <v>3559</v>
      </c>
      <c r="D1450" s="22" t="s">
        <v>3560</v>
      </c>
      <c r="E1450" s="22" t="s">
        <v>16</v>
      </c>
      <c r="F1450" s="22" t="s">
        <v>3561</v>
      </c>
      <c r="G1450" s="23">
        <v>29689</v>
      </c>
      <c r="H1450" s="22" t="s">
        <v>18</v>
      </c>
      <c r="I1450" s="22" t="s">
        <v>19</v>
      </c>
      <c r="J1450" s="22" t="s">
        <v>37</v>
      </c>
      <c r="K1450" s="10" t="str">
        <f ca="1">DATEDIF('DATA PENDUDUK'!$G1450,TODAY(),"Y")&amp; " TAHUN"</f>
        <v>44 TAHUN</v>
      </c>
      <c r="L1450" s="24" t="s">
        <v>3459</v>
      </c>
    </row>
    <row r="1451" spans="1:12" ht="20.100000000000001" customHeight="1" x14ac:dyDescent="0.25">
      <c r="A1451" s="8">
        <f t="shared" si="22"/>
        <v>1448</v>
      </c>
      <c r="B1451" s="21" t="s">
        <v>3550</v>
      </c>
      <c r="C1451" s="21" t="s">
        <v>3562</v>
      </c>
      <c r="D1451" s="22" t="s">
        <v>3563</v>
      </c>
      <c r="E1451" s="22" t="s">
        <v>16</v>
      </c>
      <c r="F1451" s="22" t="s">
        <v>3553</v>
      </c>
      <c r="G1451" s="23">
        <v>37641</v>
      </c>
      <c r="H1451" s="22" t="s">
        <v>438</v>
      </c>
      <c r="I1451" s="22" t="s">
        <v>40</v>
      </c>
      <c r="J1451" s="22" t="s">
        <v>37</v>
      </c>
      <c r="K1451" s="10" t="str">
        <f ca="1">DATEDIF('DATA PENDUDUK'!$G1451,TODAY(),"Y")&amp; " TAHUN"</f>
        <v>22 TAHUN</v>
      </c>
      <c r="L1451" s="24" t="s">
        <v>3459</v>
      </c>
    </row>
    <row r="1452" spans="1:12" ht="20.100000000000001" customHeight="1" x14ac:dyDescent="0.25">
      <c r="A1452" s="8">
        <f t="shared" si="22"/>
        <v>1449</v>
      </c>
      <c r="B1452" s="21" t="s">
        <v>3564</v>
      </c>
      <c r="C1452" s="21" t="s">
        <v>3565</v>
      </c>
      <c r="D1452" s="22" t="s">
        <v>3566</v>
      </c>
      <c r="E1452" s="22" t="s">
        <v>16</v>
      </c>
      <c r="F1452" s="22" t="s">
        <v>3567</v>
      </c>
      <c r="G1452" s="23">
        <v>31388</v>
      </c>
      <c r="H1452" s="22" t="s">
        <v>438</v>
      </c>
      <c r="I1452" s="22" t="s">
        <v>19</v>
      </c>
      <c r="J1452" s="22" t="s">
        <v>20</v>
      </c>
      <c r="K1452" s="10" t="str">
        <f ca="1">DATEDIF('DATA PENDUDUK'!$G1452,TODAY(),"Y")&amp; " TAHUN"</f>
        <v>39 TAHUN</v>
      </c>
      <c r="L1452" s="24" t="s">
        <v>3459</v>
      </c>
    </row>
    <row r="1453" spans="1:12" ht="20.100000000000001" customHeight="1" x14ac:dyDescent="0.25">
      <c r="A1453" s="8">
        <f t="shared" si="22"/>
        <v>1450</v>
      </c>
      <c r="B1453" s="21" t="s">
        <v>3564</v>
      </c>
      <c r="C1453" s="21" t="s">
        <v>3568</v>
      </c>
      <c r="D1453" s="22" t="s">
        <v>3569</v>
      </c>
      <c r="E1453" s="22" t="s">
        <v>24</v>
      </c>
      <c r="F1453" s="22" t="s">
        <v>3567</v>
      </c>
      <c r="G1453" s="23">
        <v>28386</v>
      </c>
      <c r="H1453" s="22" t="s">
        <v>438</v>
      </c>
      <c r="I1453" s="22" t="s">
        <v>2598</v>
      </c>
      <c r="J1453" s="22" t="s">
        <v>27</v>
      </c>
      <c r="K1453" s="10" t="str">
        <f ca="1">DATEDIF('DATA PENDUDUK'!$G1453,TODAY(),"Y")&amp; " TAHUN"</f>
        <v>47 TAHUN</v>
      </c>
      <c r="L1453" s="24" t="s">
        <v>3459</v>
      </c>
    </row>
    <row r="1454" spans="1:12" ht="20.100000000000001" customHeight="1" x14ac:dyDescent="0.25">
      <c r="A1454" s="8">
        <f t="shared" si="22"/>
        <v>1451</v>
      </c>
      <c r="B1454" s="21" t="s">
        <v>3564</v>
      </c>
      <c r="C1454" s="21" t="s">
        <v>3570</v>
      </c>
      <c r="D1454" s="22" t="s">
        <v>3571</v>
      </c>
      <c r="E1454" s="22" t="s">
        <v>24</v>
      </c>
      <c r="F1454" s="22" t="s">
        <v>30</v>
      </c>
      <c r="G1454" s="23">
        <v>39198</v>
      </c>
      <c r="H1454" s="22" t="s">
        <v>438</v>
      </c>
      <c r="I1454" s="22" t="s">
        <v>40</v>
      </c>
      <c r="J1454" s="22" t="s">
        <v>32</v>
      </c>
      <c r="K1454" s="10" t="str">
        <f ca="1">DATEDIF('DATA PENDUDUK'!$G1454,TODAY(),"Y")&amp; " TAHUN"</f>
        <v>18 TAHUN</v>
      </c>
      <c r="L1454" s="24" t="s">
        <v>3459</v>
      </c>
    </row>
    <row r="1455" spans="1:12" ht="20.100000000000001" customHeight="1" x14ac:dyDescent="0.25">
      <c r="A1455" s="8">
        <f t="shared" si="22"/>
        <v>1452</v>
      </c>
      <c r="B1455" s="21" t="s">
        <v>3564</v>
      </c>
      <c r="C1455" s="21" t="s">
        <v>3572</v>
      </c>
      <c r="D1455" s="22" t="s">
        <v>3573</v>
      </c>
      <c r="E1455" s="22" t="s">
        <v>24</v>
      </c>
      <c r="F1455" s="22" t="s">
        <v>3574</v>
      </c>
      <c r="G1455" s="23">
        <v>39624</v>
      </c>
      <c r="H1455" s="22" t="s">
        <v>438</v>
      </c>
      <c r="I1455" s="22" t="s">
        <v>40</v>
      </c>
      <c r="J1455" s="22" t="s">
        <v>32</v>
      </c>
      <c r="K1455" s="10" t="str">
        <f ca="1">DATEDIF('DATA PENDUDUK'!$G1455,TODAY(),"Y")&amp; " TAHUN"</f>
        <v>17 TAHUN</v>
      </c>
      <c r="L1455" s="24" t="s">
        <v>3459</v>
      </c>
    </row>
    <row r="1456" spans="1:12" ht="20.100000000000001" customHeight="1" x14ac:dyDescent="0.25">
      <c r="A1456" s="8">
        <f t="shared" si="22"/>
        <v>1453</v>
      </c>
      <c r="B1456" s="21" t="s">
        <v>3564</v>
      </c>
      <c r="C1456" s="21" t="s">
        <v>3575</v>
      </c>
      <c r="D1456" s="22" t="s">
        <v>3576</v>
      </c>
      <c r="E1456" s="22" t="s">
        <v>24</v>
      </c>
      <c r="F1456" s="22" t="s">
        <v>30</v>
      </c>
      <c r="G1456" s="23">
        <v>41333</v>
      </c>
      <c r="H1456" s="22" t="s">
        <v>438</v>
      </c>
      <c r="I1456" s="22" t="s">
        <v>40</v>
      </c>
      <c r="J1456" s="22" t="s">
        <v>37</v>
      </c>
      <c r="K1456" s="10" t="str">
        <f ca="1">DATEDIF('DATA PENDUDUK'!$G1456,TODAY(),"Y")&amp; " TAHUN"</f>
        <v>12 TAHUN</v>
      </c>
      <c r="L1456" s="24" t="s">
        <v>3459</v>
      </c>
    </row>
    <row r="1457" spans="1:12" ht="20.100000000000001" customHeight="1" x14ac:dyDescent="0.25">
      <c r="A1457" s="8">
        <f t="shared" si="22"/>
        <v>1454</v>
      </c>
      <c r="B1457" s="21" t="s">
        <v>3577</v>
      </c>
      <c r="C1457" s="21" t="s">
        <v>3578</v>
      </c>
      <c r="D1457" s="22" t="s">
        <v>3579</v>
      </c>
      <c r="E1457" s="22" t="s">
        <v>16</v>
      </c>
      <c r="F1457" s="22" t="s">
        <v>3580</v>
      </c>
      <c r="G1457" s="23">
        <v>30438</v>
      </c>
      <c r="H1457" s="22" t="s">
        <v>35</v>
      </c>
      <c r="I1457" s="22" t="s">
        <v>40</v>
      </c>
      <c r="J1457" s="22" t="s">
        <v>20</v>
      </c>
      <c r="K1457" s="10" t="str">
        <f ca="1">DATEDIF('DATA PENDUDUK'!$G1457,TODAY(),"Y")&amp; " TAHUN"</f>
        <v>42 TAHUN</v>
      </c>
      <c r="L1457" s="24" t="s">
        <v>3459</v>
      </c>
    </row>
    <row r="1458" spans="1:12" ht="20.100000000000001" customHeight="1" x14ac:dyDescent="0.25">
      <c r="A1458" s="8">
        <f t="shared" si="22"/>
        <v>1455</v>
      </c>
      <c r="B1458" s="21" t="s">
        <v>3577</v>
      </c>
      <c r="C1458" s="21" t="s">
        <v>3581</v>
      </c>
      <c r="D1458" s="22" t="s">
        <v>3582</v>
      </c>
      <c r="E1458" s="22" t="s">
        <v>24</v>
      </c>
      <c r="F1458" s="22" t="s">
        <v>3583</v>
      </c>
      <c r="G1458" s="23">
        <v>35035</v>
      </c>
      <c r="H1458" s="22" t="s">
        <v>35</v>
      </c>
      <c r="I1458" s="22" t="s">
        <v>2598</v>
      </c>
      <c r="J1458" s="22" t="s">
        <v>27</v>
      </c>
      <c r="K1458" s="10" t="str">
        <f ca="1">DATEDIF('DATA PENDUDUK'!$G1458,TODAY(),"Y")&amp; " TAHUN"</f>
        <v>29 TAHUN</v>
      </c>
      <c r="L1458" s="24" t="s">
        <v>3459</v>
      </c>
    </row>
    <row r="1459" spans="1:12" ht="20.100000000000001" customHeight="1" x14ac:dyDescent="0.25">
      <c r="A1459" s="8">
        <f t="shared" si="22"/>
        <v>1456</v>
      </c>
      <c r="B1459" s="21" t="s">
        <v>3577</v>
      </c>
      <c r="C1459" s="21" t="s">
        <v>3584</v>
      </c>
      <c r="D1459" s="22" t="s">
        <v>3585</v>
      </c>
      <c r="E1459" s="22" t="s">
        <v>16</v>
      </c>
      <c r="F1459" s="22" t="s">
        <v>30</v>
      </c>
      <c r="G1459" s="23">
        <v>43071</v>
      </c>
      <c r="H1459" s="22" t="s">
        <v>3586</v>
      </c>
      <c r="I1459" s="22" t="s">
        <v>40</v>
      </c>
      <c r="J1459" s="22" t="s">
        <v>32</v>
      </c>
      <c r="K1459" s="10" t="str">
        <f ca="1">DATEDIF('DATA PENDUDUK'!$G1459,TODAY(),"Y")&amp; " TAHUN"</f>
        <v>7 TAHUN</v>
      </c>
      <c r="L1459" s="24" t="s">
        <v>3459</v>
      </c>
    </row>
    <row r="1460" spans="1:12" ht="20.100000000000001" customHeight="1" x14ac:dyDescent="0.25">
      <c r="A1460" s="8">
        <f t="shared" si="22"/>
        <v>1457</v>
      </c>
      <c r="B1460" s="21" t="s">
        <v>3587</v>
      </c>
      <c r="C1460" s="21" t="s">
        <v>3588</v>
      </c>
      <c r="D1460" s="22" t="s">
        <v>3589</v>
      </c>
      <c r="E1460" s="22" t="s">
        <v>24</v>
      </c>
      <c r="F1460" s="22" t="s">
        <v>376</v>
      </c>
      <c r="G1460" s="23">
        <v>36037</v>
      </c>
      <c r="H1460" s="22" t="s">
        <v>18</v>
      </c>
      <c r="I1460" s="22" t="s">
        <v>40</v>
      </c>
      <c r="J1460" s="22" t="s">
        <v>20</v>
      </c>
      <c r="K1460" s="10" t="str">
        <f ca="1">DATEDIF('DATA PENDUDUK'!$G1460,TODAY(),"Y")&amp; " TAHUN"</f>
        <v>26 TAHUN</v>
      </c>
      <c r="L1460" s="24" t="s">
        <v>3459</v>
      </c>
    </row>
    <row r="1461" spans="1:12" ht="20.100000000000001" customHeight="1" x14ac:dyDescent="0.25">
      <c r="A1461" s="8">
        <f t="shared" si="22"/>
        <v>1458</v>
      </c>
      <c r="B1461" s="21" t="s">
        <v>3587</v>
      </c>
      <c r="C1461" s="21" t="s">
        <v>3590</v>
      </c>
      <c r="D1461" s="22" t="s">
        <v>3591</v>
      </c>
      <c r="E1461" s="22" t="s">
        <v>16</v>
      </c>
      <c r="F1461" s="22" t="s">
        <v>30</v>
      </c>
      <c r="G1461" s="23">
        <v>44319</v>
      </c>
      <c r="H1461" s="22" t="s">
        <v>35</v>
      </c>
      <c r="I1461" s="22" t="s">
        <v>40</v>
      </c>
      <c r="J1461" s="22" t="s">
        <v>32</v>
      </c>
      <c r="K1461" s="10" t="str">
        <f ca="1">DATEDIF('DATA PENDUDUK'!$G1461,TODAY(),"Y")&amp; " TAHUN"</f>
        <v>4 TAHUN</v>
      </c>
      <c r="L1461" s="24" t="s">
        <v>3459</v>
      </c>
    </row>
    <row r="1462" spans="1:12" ht="20.100000000000001" customHeight="1" x14ac:dyDescent="0.25">
      <c r="A1462" s="8">
        <f t="shared" si="22"/>
        <v>1459</v>
      </c>
      <c r="B1462" s="21" t="s">
        <v>3592</v>
      </c>
      <c r="C1462" s="21" t="s">
        <v>3593</v>
      </c>
      <c r="D1462" s="22" t="s">
        <v>3594</v>
      </c>
      <c r="E1462" s="22" t="s">
        <v>16</v>
      </c>
      <c r="F1462" s="22" t="s">
        <v>3595</v>
      </c>
      <c r="G1462" s="23">
        <v>30613</v>
      </c>
      <c r="H1462" s="22" t="s">
        <v>438</v>
      </c>
      <c r="I1462" s="22" t="s">
        <v>40</v>
      </c>
      <c r="J1462" s="22" t="s">
        <v>20</v>
      </c>
      <c r="K1462" s="10" t="str">
        <f ca="1">DATEDIF('DATA PENDUDUK'!$G1462,TODAY(),"Y")&amp; " TAHUN"</f>
        <v>41 TAHUN</v>
      </c>
      <c r="L1462" s="24" t="s">
        <v>3459</v>
      </c>
    </row>
    <row r="1463" spans="1:12" ht="20.100000000000001" customHeight="1" x14ac:dyDescent="0.25">
      <c r="A1463" s="8">
        <f t="shared" si="22"/>
        <v>1460</v>
      </c>
      <c r="B1463" s="21" t="s">
        <v>3592</v>
      </c>
      <c r="C1463" s="21" t="s">
        <v>3596</v>
      </c>
      <c r="D1463" s="22" t="s">
        <v>3597</v>
      </c>
      <c r="E1463" s="22" t="s">
        <v>24</v>
      </c>
      <c r="F1463" s="22" t="s">
        <v>30</v>
      </c>
      <c r="G1463" s="23">
        <v>34174</v>
      </c>
      <c r="H1463" s="22" t="s">
        <v>438</v>
      </c>
      <c r="I1463" s="22" t="s">
        <v>1302</v>
      </c>
      <c r="J1463" s="22" t="s">
        <v>27</v>
      </c>
      <c r="K1463" s="10" t="str">
        <f ca="1">DATEDIF('DATA PENDUDUK'!$G1463,TODAY(),"Y")&amp; " TAHUN"</f>
        <v>32 TAHUN</v>
      </c>
      <c r="L1463" s="24" t="s">
        <v>3459</v>
      </c>
    </row>
    <row r="1464" spans="1:12" ht="20.100000000000001" customHeight="1" x14ac:dyDescent="0.25">
      <c r="A1464" s="8">
        <f t="shared" si="22"/>
        <v>1461</v>
      </c>
      <c r="B1464" s="21" t="s">
        <v>3592</v>
      </c>
      <c r="C1464" s="21" t="s">
        <v>3598</v>
      </c>
      <c r="D1464" s="22" t="s">
        <v>3599</v>
      </c>
      <c r="E1464" s="22" t="s">
        <v>16</v>
      </c>
      <c r="F1464" s="22" t="s">
        <v>3595</v>
      </c>
      <c r="G1464" s="23">
        <v>43291</v>
      </c>
      <c r="H1464" s="22" t="s">
        <v>438</v>
      </c>
      <c r="I1464" s="22" t="s">
        <v>40</v>
      </c>
      <c r="J1464" s="22" t="s">
        <v>32</v>
      </c>
      <c r="K1464" s="10" t="str">
        <f ca="1">DATEDIF('DATA PENDUDUK'!$G1464,TODAY(),"Y")&amp; " TAHUN"</f>
        <v>7 TAHUN</v>
      </c>
      <c r="L1464" s="24" t="s">
        <v>3459</v>
      </c>
    </row>
    <row r="1465" spans="1:12" ht="20.100000000000001" customHeight="1" x14ac:dyDescent="0.25">
      <c r="A1465" s="8">
        <f t="shared" si="22"/>
        <v>1462</v>
      </c>
      <c r="B1465" s="21" t="s">
        <v>3600</v>
      </c>
      <c r="C1465" s="21" t="s">
        <v>3601</v>
      </c>
      <c r="D1465" s="22" t="s">
        <v>3602</v>
      </c>
      <c r="E1465" s="22" t="s">
        <v>24</v>
      </c>
      <c r="F1465" s="22" t="s">
        <v>3603</v>
      </c>
      <c r="G1465" s="23">
        <v>31014</v>
      </c>
      <c r="H1465" s="22" t="s">
        <v>438</v>
      </c>
      <c r="I1465" s="22" t="s">
        <v>40</v>
      </c>
      <c r="J1465" s="22" t="s">
        <v>20</v>
      </c>
      <c r="K1465" s="10" t="str">
        <f ca="1">DATEDIF('DATA PENDUDUK'!$G1465,TODAY(),"Y")&amp; " TAHUN"</f>
        <v>40 TAHUN</v>
      </c>
      <c r="L1465" s="24" t="s">
        <v>3459</v>
      </c>
    </row>
    <row r="1466" spans="1:12" ht="20.100000000000001" customHeight="1" x14ac:dyDescent="0.25">
      <c r="A1466" s="8">
        <f t="shared" si="22"/>
        <v>1463</v>
      </c>
      <c r="B1466" s="21" t="s">
        <v>3604</v>
      </c>
      <c r="C1466" s="21" t="s">
        <v>3605</v>
      </c>
      <c r="D1466" s="22" t="s">
        <v>3606</v>
      </c>
      <c r="E1466" s="22" t="s">
        <v>16</v>
      </c>
      <c r="F1466" s="22" t="s">
        <v>3607</v>
      </c>
      <c r="G1466" s="23">
        <v>29697</v>
      </c>
      <c r="H1466" s="22" t="s">
        <v>35</v>
      </c>
      <c r="I1466" s="22" t="s">
        <v>19</v>
      </c>
      <c r="J1466" s="22" t="s">
        <v>20</v>
      </c>
      <c r="K1466" s="10" t="str">
        <f ca="1">DATEDIF('DATA PENDUDUK'!$G1466,TODAY(),"Y")&amp; " TAHUN"</f>
        <v>44 TAHUN</v>
      </c>
      <c r="L1466" s="24" t="s">
        <v>3459</v>
      </c>
    </row>
    <row r="1467" spans="1:12" ht="20.100000000000001" customHeight="1" x14ac:dyDescent="0.25">
      <c r="A1467" s="8">
        <f t="shared" si="22"/>
        <v>1464</v>
      </c>
      <c r="B1467" s="21" t="s">
        <v>3604</v>
      </c>
      <c r="C1467" s="21" t="s">
        <v>3608</v>
      </c>
      <c r="D1467" s="22" t="s">
        <v>3609</v>
      </c>
      <c r="E1467" s="22" t="s">
        <v>24</v>
      </c>
      <c r="F1467" s="22" t="s">
        <v>3610</v>
      </c>
      <c r="G1467" s="23">
        <v>30627</v>
      </c>
      <c r="H1467" s="22" t="s">
        <v>35</v>
      </c>
      <c r="I1467" s="22" t="s">
        <v>1804</v>
      </c>
      <c r="J1467" s="22" t="s">
        <v>27</v>
      </c>
      <c r="K1467" s="10" t="str">
        <f ca="1">DATEDIF('DATA PENDUDUK'!$G1467,TODAY(),"Y")&amp; " TAHUN"</f>
        <v>41 TAHUN</v>
      </c>
      <c r="L1467" s="24" t="s">
        <v>3459</v>
      </c>
    </row>
    <row r="1468" spans="1:12" ht="20.100000000000001" customHeight="1" x14ac:dyDescent="0.25">
      <c r="A1468" s="8">
        <f t="shared" si="22"/>
        <v>1465</v>
      </c>
      <c r="B1468" s="21" t="s">
        <v>3604</v>
      </c>
      <c r="C1468" s="21" t="s">
        <v>3611</v>
      </c>
      <c r="D1468" s="22" t="s">
        <v>3612</v>
      </c>
      <c r="E1468" s="22" t="s">
        <v>24</v>
      </c>
      <c r="F1468" s="22" t="s">
        <v>3466</v>
      </c>
      <c r="G1468" s="23">
        <v>39071</v>
      </c>
      <c r="H1468" s="22" t="s">
        <v>35</v>
      </c>
      <c r="I1468" s="22" t="s">
        <v>31</v>
      </c>
      <c r="J1468" s="22" t="s">
        <v>32</v>
      </c>
      <c r="K1468" s="10" t="str">
        <f ca="1">DATEDIF('DATA PENDUDUK'!$G1468,TODAY(),"Y")&amp; " TAHUN"</f>
        <v>18 TAHUN</v>
      </c>
      <c r="L1468" s="24" t="s">
        <v>3459</v>
      </c>
    </row>
    <row r="1469" spans="1:12" ht="20.100000000000001" customHeight="1" x14ac:dyDescent="0.25">
      <c r="A1469" s="8">
        <f t="shared" si="22"/>
        <v>1466</v>
      </c>
      <c r="B1469" s="21" t="s">
        <v>3604</v>
      </c>
      <c r="C1469" s="21" t="s">
        <v>3613</v>
      </c>
      <c r="D1469" s="22" t="s">
        <v>3614</v>
      </c>
      <c r="E1469" s="22" t="s">
        <v>24</v>
      </c>
      <c r="F1469" s="22" t="s">
        <v>30</v>
      </c>
      <c r="G1469" s="23">
        <v>45235</v>
      </c>
      <c r="H1469" s="22" t="s">
        <v>35</v>
      </c>
      <c r="I1469" s="22" t="s">
        <v>40</v>
      </c>
      <c r="J1469" s="22" t="s">
        <v>32</v>
      </c>
      <c r="K1469" s="10" t="str">
        <f ca="1">DATEDIF('DATA PENDUDUK'!$G1469,TODAY(),"Y")&amp; " TAHUN"</f>
        <v>1 TAHUN</v>
      </c>
      <c r="L1469" s="24" t="s">
        <v>3459</v>
      </c>
    </row>
    <row r="1470" spans="1:12" ht="20.100000000000001" customHeight="1" x14ac:dyDescent="0.25">
      <c r="A1470" s="8">
        <f t="shared" si="22"/>
        <v>1467</v>
      </c>
      <c r="B1470" s="21" t="s">
        <v>3615</v>
      </c>
      <c r="C1470" s="21" t="s">
        <v>3616</v>
      </c>
      <c r="D1470" s="22" t="s">
        <v>3617</v>
      </c>
      <c r="E1470" s="22" t="s">
        <v>16</v>
      </c>
      <c r="F1470" s="22" t="s">
        <v>134</v>
      </c>
      <c r="G1470" s="23">
        <v>26324</v>
      </c>
      <c r="H1470" s="22" t="s">
        <v>438</v>
      </c>
      <c r="I1470" s="22" t="s">
        <v>2593</v>
      </c>
      <c r="J1470" s="22" t="s">
        <v>20</v>
      </c>
      <c r="K1470" s="10" t="str">
        <f ca="1">DATEDIF('DATA PENDUDUK'!$G1470,TODAY(),"Y")&amp; " TAHUN"</f>
        <v>53 TAHUN</v>
      </c>
      <c r="L1470" s="24" t="s">
        <v>3459</v>
      </c>
    </row>
    <row r="1471" spans="1:12" ht="20.100000000000001" customHeight="1" x14ac:dyDescent="0.25">
      <c r="A1471" s="8">
        <f t="shared" si="22"/>
        <v>1468</v>
      </c>
      <c r="B1471" s="21" t="s">
        <v>3615</v>
      </c>
      <c r="C1471" s="21" t="s">
        <v>3618</v>
      </c>
      <c r="D1471" s="22" t="s">
        <v>3619</v>
      </c>
      <c r="E1471" s="22" t="s">
        <v>24</v>
      </c>
      <c r="F1471" s="22" t="s">
        <v>2204</v>
      </c>
      <c r="G1471" s="23">
        <v>28144</v>
      </c>
      <c r="H1471" s="22" t="s">
        <v>438</v>
      </c>
      <c r="I1471" s="22" t="s">
        <v>2598</v>
      </c>
      <c r="J1471" s="22" t="s">
        <v>27</v>
      </c>
      <c r="K1471" s="10" t="str">
        <f ca="1">DATEDIF('DATA PENDUDUK'!$G1471,TODAY(),"Y")&amp; " TAHUN"</f>
        <v>48 TAHUN</v>
      </c>
      <c r="L1471" s="24" t="s">
        <v>3459</v>
      </c>
    </row>
    <row r="1472" spans="1:12" ht="20.100000000000001" customHeight="1" x14ac:dyDescent="0.25">
      <c r="A1472" s="8">
        <f t="shared" si="22"/>
        <v>1469</v>
      </c>
      <c r="B1472" s="21" t="s">
        <v>3615</v>
      </c>
      <c r="C1472" s="21" t="s">
        <v>3620</v>
      </c>
      <c r="D1472" s="22" t="s">
        <v>3621</v>
      </c>
      <c r="E1472" s="22" t="s">
        <v>16</v>
      </c>
      <c r="F1472" s="22" t="s">
        <v>3622</v>
      </c>
      <c r="G1472" s="23">
        <v>40666</v>
      </c>
      <c r="H1472" s="22" t="s">
        <v>438</v>
      </c>
      <c r="I1472" s="22" t="s">
        <v>40</v>
      </c>
      <c r="J1472" s="22" t="s">
        <v>32</v>
      </c>
      <c r="K1472" s="10" t="str">
        <f ca="1">DATEDIF('DATA PENDUDUK'!$G1472,TODAY(),"Y")&amp; " TAHUN"</f>
        <v>14 TAHUN</v>
      </c>
      <c r="L1472" s="24" t="s">
        <v>3459</v>
      </c>
    </row>
    <row r="1473" spans="1:12" ht="20.100000000000001" customHeight="1" x14ac:dyDescent="0.25">
      <c r="A1473" s="8">
        <f t="shared" si="22"/>
        <v>1470</v>
      </c>
      <c r="B1473" s="21" t="s">
        <v>3615</v>
      </c>
      <c r="C1473" s="21" t="s">
        <v>3623</v>
      </c>
      <c r="D1473" s="22" t="s">
        <v>3624</v>
      </c>
      <c r="E1473" s="22" t="s">
        <v>16</v>
      </c>
      <c r="F1473" s="22" t="s">
        <v>30</v>
      </c>
      <c r="G1473" s="23">
        <v>41289</v>
      </c>
      <c r="H1473" s="22" t="s">
        <v>438</v>
      </c>
      <c r="I1473" s="22" t="s">
        <v>40</v>
      </c>
      <c r="J1473" s="22" t="s">
        <v>32</v>
      </c>
      <c r="K1473" s="10" t="str">
        <f ca="1">DATEDIF('DATA PENDUDUK'!$G1473,TODAY(),"Y")&amp; " TAHUN"</f>
        <v>12 TAHUN</v>
      </c>
      <c r="L1473" s="24" t="s">
        <v>3459</v>
      </c>
    </row>
    <row r="1474" spans="1:12" ht="20.100000000000001" customHeight="1" x14ac:dyDescent="0.25">
      <c r="A1474" s="8">
        <f t="shared" si="22"/>
        <v>1471</v>
      </c>
      <c r="B1474" s="21" t="s">
        <v>3615</v>
      </c>
      <c r="C1474" s="21" t="s">
        <v>3625</v>
      </c>
      <c r="D1474" s="22" t="s">
        <v>3626</v>
      </c>
      <c r="E1474" s="22" t="s">
        <v>16</v>
      </c>
      <c r="F1474" s="22" t="s">
        <v>3622</v>
      </c>
      <c r="G1474" s="23">
        <v>41906</v>
      </c>
      <c r="H1474" s="22" t="s">
        <v>438</v>
      </c>
      <c r="I1474" s="22" t="s">
        <v>40</v>
      </c>
      <c r="J1474" s="22" t="s">
        <v>32</v>
      </c>
      <c r="K1474" s="10" t="str">
        <f ca="1">DATEDIF('DATA PENDUDUK'!$G1474,TODAY(),"Y")&amp; " TAHUN"</f>
        <v>10 TAHUN</v>
      </c>
      <c r="L1474" s="24" t="s">
        <v>3459</v>
      </c>
    </row>
    <row r="1475" spans="1:12" ht="20.100000000000001" customHeight="1" x14ac:dyDescent="0.25">
      <c r="A1475" s="8">
        <f t="shared" si="22"/>
        <v>1472</v>
      </c>
      <c r="B1475" s="21" t="s">
        <v>3550</v>
      </c>
      <c r="C1475" s="21" t="s">
        <v>3551</v>
      </c>
      <c r="D1475" s="22" t="s">
        <v>3552</v>
      </c>
      <c r="E1475" s="22" t="s">
        <v>16</v>
      </c>
      <c r="F1475" s="22" t="s">
        <v>3553</v>
      </c>
      <c r="G1475" s="23">
        <v>31650</v>
      </c>
      <c r="H1475" s="22" t="s">
        <v>18</v>
      </c>
      <c r="I1475" s="22" t="s">
        <v>3528</v>
      </c>
      <c r="J1475" s="22" t="s">
        <v>20</v>
      </c>
      <c r="K1475" s="10" t="str">
        <f ca="1">DATEDIF('DATA PENDUDUK'!$G1475,TODAY(),"Y")&amp; " TAHUN"</f>
        <v>38 TAHUN</v>
      </c>
      <c r="L1475" s="24" t="s">
        <v>3459</v>
      </c>
    </row>
    <row r="1476" spans="1:12" ht="20.100000000000001" customHeight="1" x14ac:dyDescent="0.25">
      <c r="A1476" s="8">
        <f t="shared" si="22"/>
        <v>1473</v>
      </c>
      <c r="B1476" s="21" t="s">
        <v>3550</v>
      </c>
      <c r="C1476" s="21" t="s">
        <v>3554</v>
      </c>
      <c r="D1476" s="22" t="s">
        <v>3627</v>
      </c>
      <c r="E1476" s="22" t="s">
        <v>24</v>
      </c>
      <c r="F1476" s="22" t="s">
        <v>3556</v>
      </c>
      <c r="G1476" s="23">
        <v>32571</v>
      </c>
      <c r="H1476" s="22" t="s">
        <v>18</v>
      </c>
      <c r="I1476" s="22" t="s">
        <v>1813</v>
      </c>
      <c r="J1476" s="22" t="s">
        <v>27</v>
      </c>
      <c r="K1476" s="10" t="str">
        <f ca="1">DATEDIF('DATA PENDUDUK'!$G1476,TODAY(),"Y")&amp; " TAHUN"</f>
        <v>36 TAHUN</v>
      </c>
      <c r="L1476" s="24" t="s">
        <v>3459</v>
      </c>
    </row>
    <row r="1477" spans="1:12" ht="20.100000000000001" customHeight="1" x14ac:dyDescent="0.25">
      <c r="A1477" s="8">
        <f t="shared" si="22"/>
        <v>1474</v>
      </c>
      <c r="B1477" s="21" t="s">
        <v>3550</v>
      </c>
      <c r="C1477" s="21" t="s">
        <v>3557</v>
      </c>
      <c r="D1477" s="22" t="s">
        <v>3558</v>
      </c>
      <c r="E1477" s="22" t="s">
        <v>16</v>
      </c>
      <c r="F1477" s="22" t="s">
        <v>3553</v>
      </c>
      <c r="G1477" s="23">
        <v>25633</v>
      </c>
      <c r="H1477" s="22" t="s">
        <v>438</v>
      </c>
      <c r="I1477" s="22" t="s">
        <v>40</v>
      </c>
      <c r="J1477" s="22" t="s">
        <v>37</v>
      </c>
      <c r="K1477" s="10" t="str">
        <f ca="1">DATEDIF('DATA PENDUDUK'!$G1477,TODAY(),"Y")&amp; " TAHUN"</f>
        <v>55 TAHUN</v>
      </c>
      <c r="L1477" s="24" t="s">
        <v>3459</v>
      </c>
    </row>
    <row r="1478" spans="1:12" ht="20.100000000000001" customHeight="1" x14ac:dyDescent="0.25">
      <c r="A1478" s="8">
        <f t="shared" ref="A1478:A1541" si="23">IF(D1478="","",ROW()-3)</f>
        <v>1475</v>
      </c>
      <c r="B1478" s="21" t="s">
        <v>3550</v>
      </c>
      <c r="C1478" s="21" t="s">
        <v>3559</v>
      </c>
      <c r="D1478" s="22" t="s">
        <v>3560</v>
      </c>
      <c r="E1478" s="22" t="s">
        <v>16</v>
      </c>
      <c r="F1478" s="22" t="s">
        <v>3561</v>
      </c>
      <c r="G1478" s="23">
        <v>29689</v>
      </c>
      <c r="H1478" s="22" t="s">
        <v>18</v>
      </c>
      <c r="I1478" s="22" t="s">
        <v>19</v>
      </c>
      <c r="J1478" s="22" t="s">
        <v>37</v>
      </c>
      <c r="K1478" s="10" t="str">
        <f ca="1">DATEDIF('DATA PENDUDUK'!$G1478,TODAY(),"Y")&amp; " TAHUN"</f>
        <v>44 TAHUN</v>
      </c>
      <c r="L1478" s="24" t="s">
        <v>3459</v>
      </c>
    </row>
    <row r="1479" spans="1:12" ht="20.100000000000001" customHeight="1" x14ac:dyDescent="0.25">
      <c r="A1479" s="8">
        <f t="shared" si="23"/>
        <v>1476</v>
      </c>
      <c r="B1479" s="21" t="s">
        <v>3550</v>
      </c>
      <c r="C1479" s="21" t="s">
        <v>3562</v>
      </c>
      <c r="D1479" s="22" t="s">
        <v>3563</v>
      </c>
      <c r="E1479" s="22" t="s">
        <v>16</v>
      </c>
      <c r="F1479" s="22" t="s">
        <v>3553</v>
      </c>
      <c r="G1479" s="23">
        <v>37641</v>
      </c>
      <c r="H1479" s="22" t="s">
        <v>438</v>
      </c>
      <c r="I1479" s="22" t="s">
        <v>40</v>
      </c>
      <c r="J1479" s="22" t="s">
        <v>37</v>
      </c>
      <c r="K1479" s="10" t="str">
        <f ca="1">DATEDIF('DATA PENDUDUK'!$G1479,TODAY(),"Y")&amp; " TAHUN"</f>
        <v>22 TAHUN</v>
      </c>
      <c r="L1479" s="24" t="s">
        <v>3459</v>
      </c>
    </row>
    <row r="1480" spans="1:12" ht="20.100000000000001" customHeight="1" x14ac:dyDescent="0.25">
      <c r="A1480" s="8">
        <f t="shared" si="23"/>
        <v>1477</v>
      </c>
      <c r="B1480" s="21" t="s">
        <v>3628</v>
      </c>
      <c r="C1480" s="21" t="s">
        <v>3629</v>
      </c>
      <c r="D1480" s="22" t="s">
        <v>3630</v>
      </c>
      <c r="E1480" s="22" t="s">
        <v>16</v>
      </c>
      <c r="F1480" s="22" t="s">
        <v>1423</v>
      </c>
      <c r="G1480" s="23"/>
      <c r="H1480" s="22" t="s">
        <v>35</v>
      </c>
      <c r="I1480" s="22" t="s">
        <v>2593</v>
      </c>
      <c r="J1480" s="22" t="s">
        <v>20</v>
      </c>
      <c r="K1480" s="10" t="str">
        <f ca="1">DATEDIF('DATA PENDUDUK'!$G1480,TODAY(),"Y")&amp; " TAHUN"</f>
        <v>125 TAHUN</v>
      </c>
      <c r="L1480" s="24" t="s">
        <v>3459</v>
      </c>
    </row>
    <row r="1481" spans="1:12" ht="20.100000000000001" customHeight="1" x14ac:dyDescent="0.25">
      <c r="A1481" s="8">
        <f t="shared" si="23"/>
        <v>1478</v>
      </c>
      <c r="B1481" s="21" t="s">
        <v>3628</v>
      </c>
      <c r="C1481" s="21" t="s">
        <v>3631</v>
      </c>
      <c r="D1481" s="22" t="s">
        <v>3632</v>
      </c>
      <c r="E1481" s="22" t="s">
        <v>24</v>
      </c>
      <c r="F1481" s="22" t="s">
        <v>3633</v>
      </c>
      <c r="G1481" s="23"/>
      <c r="H1481" s="22" t="s">
        <v>35</v>
      </c>
      <c r="I1481" s="22" t="s">
        <v>2598</v>
      </c>
      <c r="J1481" s="22" t="s">
        <v>27</v>
      </c>
      <c r="K1481" s="10" t="str">
        <f ca="1">DATEDIF('DATA PENDUDUK'!$G1481,TODAY(),"Y")&amp; " TAHUN"</f>
        <v>125 TAHUN</v>
      </c>
      <c r="L1481" s="24" t="s">
        <v>3459</v>
      </c>
    </row>
    <row r="1482" spans="1:12" ht="20.100000000000001" customHeight="1" x14ac:dyDescent="0.25">
      <c r="A1482" s="8">
        <f t="shared" si="23"/>
        <v>1479</v>
      </c>
      <c r="B1482" s="21" t="s">
        <v>3628</v>
      </c>
      <c r="C1482" s="21" t="s">
        <v>3634</v>
      </c>
      <c r="D1482" s="22" t="s">
        <v>3635</v>
      </c>
      <c r="E1482" s="22" t="s">
        <v>16</v>
      </c>
      <c r="F1482" s="22" t="s">
        <v>3633</v>
      </c>
      <c r="G1482" s="23"/>
      <c r="H1482" s="22" t="s">
        <v>35</v>
      </c>
      <c r="I1482" s="22" t="s">
        <v>40</v>
      </c>
      <c r="J1482" s="22" t="s">
        <v>32</v>
      </c>
      <c r="K1482" s="10" t="str">
        <f ca="1">DATEDIF('DATA PENDUDUK'!$G1482,TODAY(),"Y")&amp; " TAHUN"</f>
        <v>125 TAHUN</v>
      </c>
      <c r="L1482" s="24" t="s">
        <v>3459</v>
      </c>
    </row>
    <row r="1483" spans="1:12" ht="20.100000000000001" customHeight="1" x14ac:dyDescent="0.25">
      <c r="A1483" s="8">
        <f t="shared" si="23"/>
        <v>1480</v>
      </c>
      <c r="B1483" s="21" t="s">
        <v>3628</v>
      </c>
      <c r="C1483" s="21" t="s">
        <v>3636</v>
      </c>
      <c r="D1483" s="22" t="s">
        <v>3637</v>
      </c>
      <c r="E1483" s="22" t="s">
        <v>16</v>
      </c>
      <c r="F1483" s="22" t="s">
        <v>1423</v>
      </c>
      <c r="G1483" s="23"/>
      <c r="H1483" s="22" t="s">
        <v>35</v>
      </c>
      <c r="I1483" s="22" t="s">
        <v>40</v>
      </c>
      <c r="J1483" s="22" t="s">
        <v>32</v>
      </c>
      <c r="K1483" s="10" t="str">
        <f ca="1">DATEDIF('DATA PENDUDUK'!$G1483,TODAY(),"Y")&amp; " TAHUN"</f>
        <v>125 TAHUN</v>
      </c>
      <c r="L1483" s="24" t="s">
        <v>3459</v>
      </c>
    </row>
    <row r="1484" spans="1:12" ht="20.100000000000001" customHeight="1" x14ac:dyDescent="0.25">
      <c r="A1484" s="8">
        <f t="shared" si="23"/>
        <v>1481</v>
      </c>
      <c r="B1484" s="21" t="s">
        <v>3628</v>
      </c>
      <c r="C1484" s="21" t="s">
        <v>3638</v>
      </c>
      <c r="D1484" s="22" t="s">
        <v>3639</v>
      </c>
      <c r="E1484" s="22" t="s">
        <v>16</v>
      </c>
      <c r="F1484" s="22" t="s">
        <v>1423</v>
      </c>
      <c r="G1484" s="23"/>
      <c r="H1484" s="22" t="s">
        <v>35</v>
      </c>
      <c r="I1484" s="22" t="s">
        <v>40</v>
      </c>
      <c r="J1484" s="22" t="s">
        <v>32</v>
      </c>
      <c r="K1484" s="10" t="str">
        <f ca="1">DATEDIF('DATA PENDUDUK'!$G1484,TODAY(),"Y")&amp; " TAHUN"</f>
        <v>125 TAHUN</v>
      </c>
      <c r="L1484" s="24" t="s">
        <v>3459</v>
      </c>
    </row>
    <row r="1485" spans="1:12" ht="20.100000000000001" customHeight="1" x14ac:dyDescent="0.25">
      <c r="A1485" s="8">
        <f t="shared" si="23"/>
        <v>1482</v>
      </c>
      <c r="B1485" s="21" t="s">
        <v>3640</v>
      </c>
      <c r="C1485" s="21" t="s">
        <v>3641</v>
      </c>
      <c r="D1485" s="22" t="s">
        <v>3642</v>
      </c>
      <c r="E1485" s="22" t="s">
        <v>16</v>
      </c>
      <c r="F1485" s="22" t="s">
        <v>3643</v>
      </c>
      <c r="G1485" s="23">
        <v>31573</v>
      </c>
      <c r="H1485" s="22" t="s">
        <v>438</v>
      </c>
      <c r="I1485" s="22" t="s">
        <v>40</v>
      </c>
      <c r="J1485" s="22" t="s">
        <v>20</v>
      </c>
      <c r="K1485" s="10" t="str">
        <f ca="1">DATEDIF('DATA PENDUDUK'!$G1485,TODAY(),"Y")&amp; " TAHUN"</f>
        <v>39 TAHUN</v>
      </c>
      <c r="L1485" s="24" t="s">
        <v>3459</v>
      </c>
    </row>
    <row r="1486" spans="1:12" ht="20.100000000000001" customHeight="1" x14ac:dyDescent="0.25">
      <c r="A1486" s="8">
        <f t="shared" si="23"/>
        <v>1483</v>
      </c>
      <c r="B1486" s="21" t="s">
        <v>3640</v>
      </c>
      <c r="C1486" s="21" t="s">
        <v>3644</v>
      </c>
      <c r="D1486" s="22" t="s">
        <v>3645</v>
      </c>
      <c r="E1486" s="22" t="s">
        <v>24</v>
      </c>
      <c r="F1486" s="22" t="s">
        <v>3643</v>
      </c>
      <c r="G1486" s="23">
        <v>32197</v>
      </c>
      <c r="H1486" s="22" t="s">
        <v>438</v>
      </c>
      <c r="I1486" s="22" t="s">
        <v>2598</v>
      </c>
      <c r="J1486" s="22" t="s">
        <v>27</v>
      </c>
      <c r="K1486" s="10" t="str">
        <f ca="1">DATEDIF('DATA PENDUDUK'!$G1486,TODAY(),"Y")&amp; " TAHUN"</f>
        <v>37 TAHUN</v>
      </c>
      <c r="L1486" s="24" t="s">
        <v>3459</v>
      </c>
    </row>
    <row r="1487" spans="1:12" ht="20.100000000000001" customHeight="1" x14ac:dyDescent="0.25">
      <c r="A1487" s="8">
        <f t="shared" si="23"/>
        <v>1484</v>
      </c>
      <c r="B1487" s="21" t="s">
        <v>3640</v>
      </c>
      <c r="C1487" s="21" t="s">
        <v>3646</v>
      </c>
      <c r="D1487" s="22" t="s">
        <v>3647</v>
      </c>
      <c r="E1487" s="22" t="s">
        <v>16</v>
      </c>
      <c r="F1487" s="22" t="s">
        <v>3648</v>
      </c>
      <c r="G1487" s="23">
        <v>39186</v>
      </c>
      <c r="H1487" s="22" t="s">
        <v>438</v>
      </c>
      <c r="I1487" s="22" t="s">
        <v>40</v>
      </c>
      <c r="J1487" s="22" t="s">
        <v>32</v>
      </c>
      <c r="K1487" s="10" t="str">
        <f ca="1">DATEDIF('DATA PENDUDUK'!$G1487,TODAY(),"Y")&amp; " TAHUN"</f>
        <v>18 TAHUN</v>
      </c>
      <c r="L1487" s="24" t="s">
        <v>3459</v>
      </c>
    </row>
    <row r="1488" spans="1:12" ht="20.100000000000001" customHeight="1" x14ac:dyDescent="0.25">
      <c r="A1488" s="8">
        <f t="shared" si="23"/>
        <v>1485</v>
      </c>
      <c r="B1488" s="21" t="s">
        <v>3640</v>
      </c>
      <c r="C1488" s="21" t="s">
        <v>3649</v>
      </c>
      <c r="D1488" s="22" t="s">
        <v>3650</v>
      </c>
      <c r="E1488" s="22" t="s">
        <v>24</v>
      </c>
      <c r="F1488" s="22" t="s">
        <v>1360</v>
      </c>
      <c r="G1488" s="23">
        <v>36885</v>
      </c>
      <c r="H1488" s="22" t="s">
        <v>18</v>
      </c>
      <c r="I1488" s="22" t="s">
        <v>31</v>
      </c>
      <c r="J1488" s="22" t="s">
        <v>37</v>
      </c>
      <c r="K1488" s="10" t="str">
        <f ca="1">DATEDIF('DATA PENDUDUK'!$G1488,TODAY(),"Y")&amp; " TAHUN"</f>
        <v>24 TAHUN</v>
      </c>
      <c r="L1488" s="24" t="s">
        <v>3459</v>
      </c>
    </row>
    <row r="1489" spans="1:12" ht="20.100000000000001" customHeight="1" x14ac:dyDescent="0.25">
      <c r="A1489" s="8">
        <f t="shared" si="23"/>
        <v>1486</v>
      </c>
      <c r="B1489" s="21" t="s">
        <v>3651</v>
      </c>
      <c r="C1489" s="21" t="s">
        <v>3652</v>
      </c>
      <c r="D1489" s="22" t="s">
        <v>3653</v>
      </c>
      <c r="E1489" s="22" t="s">
        <v>16</v>
      </c>
      <c r="F1489" s="22" t="s">
        <v>3654</v>
      </c>
      <c r="G1489" s="23">
        <v>25462</v>
      </c>
      <c r="H1489" s="22" t="s">
        <v>438</v>
      </c>
      <c r="I1489" s="22" t="s">
        <v>2593</v>
      </c>
      <c r="J1489" s="22" t="s">
        <v>20</v>
      </c>
      <c r="K1489" s="10" t="str">
        <f ca="1">DATEDIF('DATA PENDUDUK'!$G1489,TODAY(),"Y")&amp; " TAHUN"</f>
        <v>55 TAHUN</v>
      </c>
      <c r="L1489" s="24" t="s">
        <v>3459</v>
      </c>
    </row>
    <row r="1490" spans="1:12" ht="20.100000000000001" customHeight="1" x14ac:dyDescent="0.25">
      <c r="A1490" s="8">
        <f t="shared" si="23"/>
        <v>1487</v>
      </c>
      <c r="B1490" s="21" t="s">
        <v>3651</v>
      </c>
      <c r="C1490" s="21" t="s">
        <v>3655</v>
      </c>
      <c r="D1490" s="22" t="s">
        <v>3656</v>
      </c>
      <c r="E1490" s="22" t="s">
        <v>24</v>
      </c>
      <c r="F1490" s="22" t="s">
        <v>3657</v>
      </c>
      <c r="G1490" s="23">
        <v>27824</v>
      </c>
      <c r="H1490" s="22" t="s">
        <v>438</v>
      </c>
      <c r="I1490" s="22" t="s">
        <v>2598</v>
      </c>
      <c r="J1490" s="22" t="s">
        <v>27</v>
      </c>
      <c r="K1490" s="10" t="str">
        <f ca="1">DATEDIF('DATA PENDUDUK'!$G1490,TODAY(),"Y")&amp; " TAHUN"</f>
        <v>49 TAHUN</v>
      </c>
      <c r="L1490" s="24" t="s">
        <v>3459</v>
      </c>
    </row>
    <row r="1491" spans="1:12" ht="20.100000000000001" customHeight="1" x14ac:dyDescent="0.25">
      <c r="A1491" s="8">
        <f t="shared" si="23"/>
        <v>1488</v>
      </c>
      <c r="B1491" s="21" t="s">
        <v>3658</v>
      </c>
      <c r="C1491" s="21" t="s">
        <v>3659</v>
      </c>
      <c r="D1491" s="22" t="s">
        <v>3660</v>
      </c>
      <c r="E1491" s="22" t="s">
        <v>24</v>
      </c>
      <c r="F1491" s="22" t="s">
        <v>49</v>
      </c>
      <c r="G1491" s="23">
        <v>32676</v>
      </c>
      <c r="H1491" s="22" t="s">
        <v>35</v>
      </c>
      <c r="I1491" s="22" t="s">
        <v>19</v>
      </c>
      <c r="J1491" s="22" t="s">
        <v>20</v>
      </c>
      <c r="K1491" s="10" t="str">
        <f ca="1">DATEDIF('DATA PENDUDUK'!$G1491,TODAY(),"Y")&amp; " TAHUN"</f>
        <v>36 TAHUN</v>
      </c>
      <c r="L1491" s="24" t="s">
        <v>3459</v>
      </c>
    </row>
    <row r="1492" spans="1:12" ht="20.100000000000001" customHeight="1" x14ac:dyDescent="0.25">
      <c r="A1492" s="8">
        <f t="shared" si="23"/>
        <v>1489</v>
      </c>
      <c r="B1492" s="21" t="s">
        <v>3658</v>
      </c>
      <c r="C1492" s="21" t="s">
        <v>3661</v>
      </c>
      <c r="D1492" s="22" t="s">
        <v>3662</v>
      </c>
      <c r="E1492" s="22" t="s">
        <v>16</v>
      </c>
      <c r="F1492" s="22" t="s">
        <v>49</v>
      </c>
      <c r="G1492" s="23">
        <v>42665</v>
      </c>
      <c r="H1492" s="22" t="s">
        <v>35</v>
      </c>
      <c r="I1492" s="22" t="s">
        <v>40</v>
      </c>
      <c r="J1492" s="22" t="s">
        <v>32</v>
      </c>
      <c r="K1492" s="10" t="str">
        <f ca="1">DATEDIF('DATA PENDUDUK'!$G1492,TODAY(),"Y")&amp; " TAHUN"</f>
        <v>8 TAHUN</v>
      </c>
      <c r="L1492" s="24" t="s">
        <v>3459</v>
      </c>
    </row>
    <row r="1493" spans="1:12" ht="20.100000000000001" customHeight="1" x14ac:dyDescent="0.25">
      <c r="A1493" s="8">
        <f t="shared" si="23"/>
        <v>1490</v>
      </c>
      <c r="B1493" s="21" t="s">
        <v>3663</v>
      </c>
      <c r="C1493" s="21" t="s">
        <v>3664</v>
      </c>
      <c r="D1493" s="22" t="s">
        <v>3665</v>
      </c>
      <c r="E1493" s="22" t="s">
        <v>16</v>
      </c>
      <c r="F1493" s="22" t="s">
        <v>87</v>
      </c>
      <c r="G1493" s="23">
        <v>29379</v>
      </c>
      <c r="H1493" s="22" t="s">
        <v>35</v>
      </c>
      <c r="I1493" s="22" t="s">
        <v>73</v>
      </c>
      <c r="J1493" s="22" t="s">
        <v>20</v>
      </c>
      <c r="K1493" s="10" t="str">
        <f ca="1">DATEDIF('DATA PENDUDUK'!$G1493,TODAY(),"Y")&amp; " TAHUN"</f>
        <v>45 TAHUN</v>
      </c>
      <c r="L1493" s="24" t="s">
        <v>3459</v>
      </c>
    </row>
    <row r="1494" spans="1:12" ht="20.100000000000001" customHeight="1" x14ac:dyDescent="0.25">
      <c r="A1494" s="8">
        <f t="shared" si="23"/>
        <v>1491</v>
      </c>
      <c r="B1494" s="21" t="s">
        <v>3663</v>
      </c>
      <c r="C1494" s="21" t="s">
        <v>3666</v>
      </c>
      <c r="D1494" s="22" t="s">
        <v>3667</v>
      </c>
      <c r="E1494" s="22" t="s">
        <v>24</v>
      </c>
      <c r="F1494" s="22" t="s">
        <v>79</v>
      </c>
      <c r="G1494" s="23">
        <v>31319</v>
      </c>
      <c r="H1494" s="22" t="s">
        <v>35</v>
      </c>
      <c r="I1494" s="22" t="s">
        <v>2598</v>
      </c>
      <c r="J1494" s="22" t="s">
        <v>27</v>
      </c>
      <c r="K1494" s="10" t="str">
        <f ca="1">DATEDIF('DATA PENDUDUK'!$G1494,TODAY(),"Y")&amp; " TAHUN"</f>
        <v>39 TAHUN</v>
      </c>
      <c r="L1494" s="24" t="s">
        <v>3459</v>
      </c>
    </row>
    <row r="1495" spans="1:12" ht="20.100000000000001" customHeight="1" x14ac:dyDescent="0.25">
      <c r="A1495" s="8">
        <f t="shared" si="23"/>
        <v>1492</v>
      </c>
      <c r="B1495" s="21" t="s">
        <v>3663</v>
      </c>
      <c r="C1495" s="21" t="s">
        <v>3668</v>
      </c>
      <c r="D1495" s="22" t="s">
        <v>3669</v>
      </c>
      <c r="E1495" s="22" t="s">
        <v>24</v>
      </c>
      <c r="F1495" s="22" t="s">
        <v>87</v>
      </c>
      <c r="G1495" s="23">
        <v>39652</v>
      </c>
      <c r="H1495" s="22" t="s">
        <v>35</v>
      </c>
      <c r="I1495" s="22" t="s">
        <v>40</v>
      </c>
      <c r="J1495" s="22" t="s">
        <v>32</v>
      </c>
      <c r="K1495" s="10" t="str">
        <f ca="1">DATEDIF('DATA PENDUDUK'!$G1495,TODAY(),"Y")&amp; " TAHUN"</f>
        <v>17 TAHUN</v>
      </c>
      <c r="L1495" s="24" t="s">
        <v>3459</v>
      </c>
    </row>
    <row r="1496" spans="1:12" ht="20.100000000000001" customHeight="1" x14ac:dyDescent="0.25">
      <c r="A1496" s="8">
        <f t="shared" si="23"/>
        <v>1493</v>
      </c>
      <c r="B1496" s="21" t="s">
        <v>3663</v>
      </c>
      <c r="C1496" s="21" t="s">
        <v>3670</v>
      </c>
      <c r="D1496" s="22" t="s">
        <v>3671</v>
      </c>
      <c r="E1496" s="22" t="s">
        <v>24</v>
      </c>
      <c r="F1496" s="22" t="s">
        <v>87</v>
      </c>
      <c r="G1496" s="23">
        <v>41937</v>
      </c>
      <c r="H1496" s="22" t="s">
        <v>35</v>
      </c>
      <c r="I1496" s="22" t="s">
        <v>40</v>
      </c>
      <c r="J1496" s="22" t="s">
        <v>32</v>
      </c>
      <c r="K1496" s="10" t="str">
        <f ca="1">DATEDIF('DATA PENDUDUK'!$G1496,TODAY(),"Y")&amp; " TAHUN"</f>
        <v>10 TAHUN</v>
      </c>
      <c r="L1496" s="24" t="s">
        <v>3459</v>
      </c>
    </row>
    <row r="1497" spans="1:12" ht="20.100000000000001" customHeight="1" x14ac:dyDescent="0.25">
      <c r="A1497" s="8">
        <f t="shared" si="23"/>
        <v>1494</v>
      </c>
      <c r="B1497" s="21" t="s">
        <v>3672</v>
      </c>
      <c r="C1497" s="21" t="s">
        <v>3673</v>
      </c>
      <c r="D1497" s="22" t="s">
        <v>3674</v>
      </c>
      <c r="E1497" s="22" t="s">
        <v>16</v>
      </c>
      <c r="F1497" s="22" t="s">
        <v>323</v>
      </c>
      <c r="G1497" s="23">
        <v>25420</v>
      </c>
      <c r="H1497" s="22" t="s">
        <v>35</v>
      </c>
      <c r="I1497" s="22" t="s">
        <v>19</v>
      </c>
      <c r="J1497" s="22" t="s">
        <v>20</v>
      </c>
      <c r="K1497" s="10" t="str">
        <f ca="1">DATEDIF('DATA PENDUDUK'!$G1497,TODAY(),"Y")&amp; " TAHUN"</f>
        <v>55 TAHUN</v>
      </c>
      <c r="L1497" s="24" t="s">
        <v>3459</v>
      </c>
    </row>
    <row r="1498" spans="1:12" ht="20.100000000000001" customHeight="1" x14ac:dyDescent="0.25">
      <c r="A1498" s="8">
        <f t="shared" si="23"/>
        <v>1495</v>
      </c>
      <c r="B1498" s="21" t="s">
        <v>3672</v>
      </c>
      <c r="C1498" s="21" t="s">
        <v>3675</v>
      </c>
      <c r="D1498" s="22" t="s">
        <v>3676</v>
      </c>
      <c r="E1498" s="22" t="s">
        <v>24</v>
      </c>
      <c r="F1498" s="22" t="s">
        <v>3677</v>
      </c>
      <c r="G1498" s="23">
        <v>25947</v>
      </c>
      <c r="H1498" s="22" t="s">
        <v>35</v>
      </c>
      <c r="I1498" s="22" t="s">
        <v>2598</v>
      </c>
      <c r="J1498" s="22" t="s">
        <v>27</v>
      </c>
      <c r="K1498" s="10" t="str">
        <f ca="1">DATEDIF('DATA PENDUDUK'!$G1498,TODAY(),"Y")&amp; " TAHUN"</f>
        <v>54 TAHUN</v>
      </c>
      <c r="L1498" s="24" t="s">
        <v>3459</v>
      </c>
    </row>
    <row r="1499" spans="1:12" ht="20.100000000000001" customHeight="1" x14ac:dyDescent="0.25">
      <c r="A1499" s="8">
        <f t="shared" si="23"/>
        <v>1496</v>
      </c>
      <c r="B1499" s="21" t="s">
        <v>3672</v>
      </c>
      <c r="C1499" s="21" t="s">
        <v>3678</v>
      </c>
      <c r="D1499" s="22" t="s">
        <v>3679</v>
      </c>
      <c r="E1499" s="22" t="s">
        <v>24</v>
      </c>
      <c r="F1499" s="22" t="s">
        <v>118</v>
      </c>
      <c r="G1499" s="23">
        <v>35258</v>
      </c>
      <c r="H1499" s="22" t="s">
        <v>35</v>
      </c>
      <c r="I1499" s="22" t="s">
        <v>31</v>
      </c>
      <c r="J1499" s="22" t="s">
        <v>32</v>
      </c>
      <c r="K1499" s="10" t="str">
        <f ca="1">DATEDIF('DATA PENDUDUK'!$G1499,TODAY(),"Y")&amp; " TAHUN"</f>
        <v>29 TAHUN</v>
      </c>
      <c r="L1499" s="24" t="s">
        <v>3459</v>
      </c>
    </row>
    <row r="1500" spans="1:12" ht="20.100000000000001" customHeight="1" x14ac:dyDescent="0.25">
      <c r="A1500" s="8">
        <f t="shared" si="23"/>
        <v>1497</v>
      </c>
      <c r="B1500" s="21" t="s">
        <v>3672</v>
      </c>
      <c r="C1500" s="21" t="s">
        <v>3680</v>
      </c>
      <c r="D1500" s="22" t="s">
        <v>3681</v>
      </c>
      <c r="E1500" s="22" t="s">
        <v>16</v>
      </c>
      <c r="F1500" s="22" t="s">
        <v>118</v>
      </c>
      <c r="G1500" s="23">
        <v>35551</v>
      </c>
      <c r="H1500" s="22" t="s">
        <v>35</v>
      </c>
      <c r="I1500" s="22" t="s">
        <v>31</v>
      </c>
      <c r="J1500" s="22" t="s">
        <v>32</v>
      </c>
      <c r="K1500" s="10" t="str">
        <f ca="1">DATEDIF('DATA PENDUDUK'!$G1500,TODAY(),"Y")&amp; " TAHUN"</f>
        <v>28 TAHUN</v>
      </c>
      <c r="L1500" s="24" t="s">
        <v>3459</v>
      </c>
    </row>
    <row r="1501" spans="1:12" ht="20.100000000000001" customHeight="1" x14ac:dyDescent="0.25">
      <c r="A1501" s="8">
        <f t="shared" si="23"/>
        <v>1498</v>
      </c>
      <c r="B1501" s="21" t="s">
        <v>3682</v>
      </c>
      <c r="C1501" s="21" t="s">
        <v>3683</v>
      </c>
      <c r="D1501" s="22" t="s">
        <v>3684</v>
      </c>
      <c r="E1501" s="22" t="s">
        <v>16</v>
      </c>
      <c r="F1501" s="22" t="s">
        <v>3685</v>
      </c>
      <c r="G1501" s="23">
        <v>28168</v>
      </c>
      <c r="H1501" s="22" t="s">
        <v>35</v>
      </c>
      <c r="I1501" s="22" t="s">
        <v>19</v>
      </c>
      <c r="J1501" s="22" t="s">
        <v>20</v>
      </c>
      <c r="K1501" s="10" t="str">
        <f ca="1">DATEDIF('DATA PENDUDUK'!$G1501,TODAY(),"Y")&amp; " TAHUN"</f>
        <v>48 TAHUN</v>
      </c>
      <c r="L1501" s="24" t="s">
        <v>3459</v>
      </c>
    </row>
    <row r="1502" spans="1:12" ht="20.100000000000001" customHeight="1" x14ac:dyDescent="0.25">
      <c r="A1502" s="8">
        <f t="shared" si="23"/>
        <v>1499</v>
      </c>
      <c r="B1502" s="21" t="s">
        <v>3682</v>
      </c>
      <c r="C1502" s="21" t="s">
        <v>3686</v>
      </c>
      <c r="D1502" s="22" t="s">
        <v>3687</v>
      </c>
      <c r="E1502" s="22" t="s">
        <v>24</v>
      </c>
      <c r="F1502" s="22" t="s">
        <v>3688</v>
      </c>
      <c r="G1502" s="23">
        <v>27733</v>
      </c>
      <c r="H1502" s="22" t="s">
        <v>35</v>
      </c>
      <c r="I1502" s="22" t="s">
        <v>2598</v>
      </c>
      <c r="J1502" s="22" t="s">
        <v>27</v>
      </c>
      <c r="K1502" s="10" t="str">
        <f ca="1">DATEDIF('DATA PENDUDUK'!$G1502,TODAY(),"Y")&amp; " TAHUN"</f>
        <v>49 TAHUN</v>
      </c>
      <c r="L1502" s="24" t="s">
        <v>3459</v>
      </c>
    </row>
    <row r="1503" spans="1:12" ht="20.100000000000001" customHeight="1" x14ac:dyDescent="0.25">
      <c r="A1503" s="8">
        <f t="shared" si="23"/>
        <v>1500</v>
      </c>
      <c r="B1503" s="21" t="s">
        <v>3689</v>
      </c>
      <c r="C1503" s="21" t="s">
        <v>3690</v>
      </c>
      <c r="D1503" s="22" t="s">
        <v>3691</v>
      </c>
      <c r="E1503" s="22" t="s">
        <v>16</v>
      </c>
      <c r="F1503" s="22" t="s">
        <v>780</v>
      </c>
      <c r="G1503" s="23">
        <v>35656</v>
      </c>
      <c r="H1503" s="22" t="s">
        <v>438</v>
      </c>
      <c r="I1503" s="22" t="s">
        <v>40</v>
      </c>
      <c r="J1503" s="22" t="s">
        <v>20</v>
      </c>
      <c r="K1503" s="10" t="str">
        <f ca="1">DATEDIF('DATA PENDUDUK'!$G1503,TODAY(),"Y")&amp; " TAHUN"</f>
        <v>27 TAHUN</v>
      </c>
      <c r="L1503" s="24" t="s">
        <v>3459</v>
      </c>
    </row>
    <row r="1504" spans="1:12" ht="20.100000000000001" customHeight="1" x14ac:dyDescent="0.25">
      <c r="A1504" s="8">
        <f t="shared" si="23"/>
        <v>1501</v>
      </c>
      <c r="B1504" s="21" t="s">
        <v>3689</v>
      </c>
      <c r="C1504" s="21" t="s">
        <v>3692</v>
      </c>
      <c r="D1504" s="22" t="s">
        <v>3693</v>
      </c>
      <c r="E1504" s="22" t="s">
        <v>24</v>
      </c>
      <c r="F1504" s="22" t="s">
        <v>780</v>
      </c>
      <c r="G1504" s="23">
        <v>33309</v>
      </c>
      <c r="H1504" s="22" t="s">
        <v>438</v>
      </c>
      <c r="I1504" s="22" t="s">
        <v>2598</v>
      </c>
      <c r="J1504" s="22" t="s">
        <v>27</v>
      </c>
      <c r="K1504" s="10" t="str">
        <f ca="1">DATEDIF('DATA PENDUDUK'!$G1504,TODAY(),"Y")&amp; " TAHUN"</f>
        <v>34 TAHUN</v>
      </c>
      <c r="L1504" s="24" t="s">
        <v>3459</v>
      </c>
    </row>
    <row r="1505" spans="1:12" ht="20.100000000000001" customHeight="1" x14ac:dyDescent="0.25">
      <c r="A1505" s="8">
        <f t="shared" si="23"/>
        <v>1502</v>
      </c>
      <c r="B1505" s="21" t="s">
        <v>3689</v>
      </c>
      <c r="C1505" s="21" t="s">
        <v>3694</v>
      </c>
      <c r="D1505" s="22" t="s">
        <v>3695</v>
      </c>
      <c r="E1505" s="22" t="s">
        <v>24</v>
      </c>
      <c r="F1505" s="22" t="s">
        <v>30</v>
      </c>
      <c r="G1505" s="23">
        <v>42560</v>
      </c>
      <c r="H1505" s="22" t="s">
        <v>438</v>
      </c>
      <c r="I1505" s="22" t="s">
        <v>40</v>
      </c>
      <c r="J1505" s="22" t="s">
        <v>32</v>
      </c>
      <c r="K1505" s="10" t="str">
        <f ca="1">DATEDIF('DATA PENDUDUK'!$G1505,TODAY(),"Y")&amp; " TAHUN"</f>
        <v>9 TAHUN</v>
      </c>
      <c r="L1505" s="24" t="s">
        <v>3459</v>
      </c>
    </row>
    <row r="1506" spans="1:12" ht="20.100000000000001" customHeight="1" x14ac:dyDescent="0.25">
      <c r="A1506" s="8">
        <f t="shared" si="23"/>
        <v>1503</v>
      </c>
      <c r="B1506" s="21" t="s">
        <v>3696</v>
      </c>
      <c r="C1506" s="21" t="s">
        <v>3697</v>
      </c>
      <c r="D1506" s="22" t="s">
        <v>3698</v>
      </c>
      <c r="E1506" s="22" t="s">
        <v>16</v>
      </c>
      <c r="F1506" s="22" t="s">
        <v>3246</v>
      </c>
      <c r="G1506" s="23">
        <v>24286</v>
      </c>
      <c r="H1506" s="22" t="s">
        <v>438</v>
      </c>
      <c r="I1506" s="22" t="s">
        <v>789</v>
      </c>
      <c r="J1506" s="22" t="s">
        <v>20</v>
      </c>
      <c r="K1506" s="10" t="str">
        <f ca="1">DATEDIF('DATA PENDUDUK'!$G1506,TODAY(),"Y")&amp; " TAHUN"</f>
        <v>59 TAHUN</v>
      </c>
      <c r="L1506" s="24" t="s">
        <v>3459</v>
      </c>
    </row>
    <row r="1507" spans="1:12" ht="20.100000000000001" customHeight="1" x14ac:dyDescent="0.25">
      <c r="A1507" s="8">
        <f t="shared" si="23"/>
        <v>1504</v>
      </c>
      <c r="B1507" s="21" t="s">
        <v>3696</v>
      </c>
      <c r="C1507" s="21" t="s">
        <v>3699</v>
      </c>
      <c r="D1507" s="22" t="s">
        <v>3700</v>
      </c>
      <c r="E1507" s="22" t="s">
        <v>24</v>
      </c>
      <c r="F1507" s="22" t="s">
        <v>3246</v>
      </c>
      <c r="G1507" s="23">
        <v>24896</v>
      </c>
      <c r="H1507" s="22" t="s">
        <v>438</v>
      </c>
      <c r="I1507" s="22" t="s">
        <v>789</v>
      </c>
      <c r="J1507" s="22" t="s">
        <v>27</v>
      </c>
      <c r="K1507" s="10" t="str">
        <f ca="1">DATEDIF('DATA PENDUDUK'!$G1507,TODAY(),"Y")&amp; " TAHUN"</f>
        <v>57 TAHUN</v>
      </c>
      <c r="L1507" s="24" t="s">
        <v>3459</v>
      </c>
    </row>
    <row r="1508" spans="1:12" ht="20.100000000000001" customHeight="1" x14ac:dyDescent="0.25">
      <c r="A1508" s="8">
        <f t="shared" si="23"/>
        <v>1505</v>
      </c>
      <c r="B1508" s="21" t="s">
        <v>3696</v>
      </c>
      <c r="C1508" s="21" t="s">
        <v>3701</v>
      </c>
      <c r="D1508" s="22" t="s">
        <v>3702</v>
      </c>
      <c r="E1508" s="22" t="s">
        <v>16</v>
      </c>
      <c r="F1508" s="22" t="s">
        <v>3703</v>
      </c>
      <c r="G1508" s="23">
        <v>34278</v>
      </c>
      <c r="H1508" s="22" t="s">
        <v>438</v>
      </c>
      <c r="I1508" s="22" t="s">
        <v>73</v>
      </c>
      <c r="J1508" s="22" t="s">
        <v>37</v>
      </c>
      <c r="K1508" s="10" t="str">
        <f ca="1">DATEDIF('DATA PENDUDUK'!$G1508,TODAY(),"Y")&amp; " TAHUN"</f>
        <v>31 TAHUN</v>
      </c>
      <c r="L1508" s="24" t="s">
        <v>3459</v>
      </c>
    </row>
    <row r="1509" spans="1:12" ht="20.100000000000001" customHeight="1" x14ac:dyDescent="0.25">
      <c r="A1509" s="8">
        <f t="shared" si="23"/>
        <v>1506</v>
      </c>
      <c r="B1509" s="21" t="s">
        <v>3704</v>
      </c>
      <c r="C1509" s="21" t="s">
        <v>3705</v>
      </c>
      <c r="D1509" s="22" t="s">
        <v>3706</v>
      </c>
      <c r="E1509" s="22" t="s">
        <v>24</v>
      </c>
      <c r="F1509" s="22" t="s">
        <v>1627</v>
      </c>
      <c r="G1509" s="23">
        <v>31168</v>
      </c>
      <c r="H1509" s="22" t="s">
        <v>35</v>
      </c>
      <c r="I1509" s="22" t="s">
        <v>73</v>
      </c>
      <c r="J1509" s="22" t="s">
        <v>20</v>
      </c>
      <c r="K1509" s="10" t="str">
        <f ca="1">DATEDIF('DATA PENDUDUK'!$G1509,TODAY(),"Y")&amp; " TAHUN"</f>
        <v>40 TAHUN</v>
      </c>
      <c r="L1509" s="24" t="s">
        <v>3459</v>
      </c>
    </row>
    <row r="1510" spans="1:12" ht="20.100000000000001" customHeight="1" x14ac:dyDescent="0.25">
      <c r="A1510" s="8">
        <f t="shared" si="23"/>
        <v>1507</v>
      </c>
      <c r="B1510" s="21" t="s">
        <v>3704</v>
      </c>
      <c r="C1510" s="21" t="s">
        <v>3707</v>
      </c>
      <c r="D1510" s="22" t="s">
        <v>3708</v>
      </c>
      <c r="E1510" s="22" t="s">
        <v>16</v>
      </c>
      <c r="F1510" s="22" t="s">
        <v>889</v>
      </c>
      <c r="G1510" s="23">
        <v>40892</v>
      </c>
      <c r="H1510" s="22" t="s">
        <v>35</v>
      </c>
      <c r="I1510" s="22" t="s">
        <v>40</v>
      </c>
      <c r="J1510" s="22" t="s">
        <v>32</v>
      </c>
      <c r="K1510" s="10" t="str">
        <f ca="1">DATEDIF('DATA PENDUDUK'!$G1510,TODAY(),"Y")&amp; " TAHUN"</f>
        <v>13 TAHUN</v>
      </c>
      <c r="L1510" s="24" t="s">
        <v>3459</v>
      </c>
    </row>
    <row r="1511" spans="1:12" ht="20.100000000000001" customHeight="1" x14ac:dyDescent="0.25">
      <c r="A1511" s="8">
        <f t="shared" si="23"/>
        <v>1508</v>
      </c>
      <c r="B1511" s="21" t="s">
        <v>3709</v>
      </c>
      <c r="C1511" s="21" t="s">
        <v>3710</v>
      </c>
      <c r="D1511" s="22" t="s">
        <v>3711</v>
      </c>
      <c r="E1511" s="22" t="s">
        <v>16</v>
      </c>
      <c r="F1511" s="22" t="s">
        <v>3246</v>
      </c>
      <c r="G1511" s="23">
        <v>32379</v>
      </c>
      <c r="H1511" s="22" t="s">
        <v>438</v>
      </c>
      <c r="I1511" s="22" t="s">
        <v>73</v>
      </c>
      <c r="J1511" s="22" t="s">
        <v>20</v>
      </c>
      <c r="K1511" s="10" t="str">
        <f ca="1">DATEDIF('DATA PENDUDUK'!$G1511,TODAY(),"Y")&amp; " TAHUN"</f>
        <v>36 TAHUN</v>
      </c>
      <c r="L1511" s="24" t="s">
        <v>3459</v>
      </c>
    </row>
    <row r="1512" spans="1:12" ht="20.100000000000001" customHeight="1" x14ac:dyDescent="0.25">
      <c r="A1512" s="8">
        <f t="shared" si="23"/>
        <v>1509</v>
      </c>
      <c r="B1512" s="21" t="s">
        <v>3709</v>
      </c>
      <c r="C1512" s="21" t="s">
        <v>3712</v>
      </c>
      <c r="D1512" s="22" t="s">
        <v>3713</v>
      </c>
      <c r="E1512" s="22" t="s">
        <v>24</v>
      </c>
      <c r="F1512" s="22" t="s">
        <v>3246</v>
      </c>
      <c r="G1512" s="23">
        <v>33611</v>
      </c>
      <c r="H1512" s="22" t="s">
        <v>438</v>
      </c>
      <c r="I1512" s="22" t="s">
        <v>2598</v>
      </c>
      <c r="J1512" s="22" t="s">
        <v>27</v>
      </c>
      <c r="K1512" s="10" t="str">
        <f ca="1">DATEDIF('DATA PENDUDUK'!$G1512,TODAY(),"Y")&amp; " TAHUN"</f>
        <v>33 TAHUN</v>
      </c>
      <c r="L1512" s="24" t="s">
        <v>3459</v>
      </c>
    </row>
    <row r="1513" spans="1:12" ht="20.100000000000001" customHeight="1" x14ac:dyDescent="0.25">
      <c r="A1513" s="8">
        <f t="shared" si="23"/>
        <v>1510</v>
      </c>
      <c r="B1513" s="21" t="s">
        <v>3709</v>
      </c>
      <c r="C1513" s="21" t="s">
        <v>3714</v>
      </c>
      <c r="D1513" s="22" t="s">
        <v>3715</v>
      </c>
      <c r="E1513" s="22" t="s">
        <v>24</v>
      </c>
      <c r="F1513" s="22" t="s">
        <v>30</v>
      </c>
      <c r="G1513" s="23">
        <v>42375</v>
      </c>
      <c r="H1513" s="22" t="s">
        <v>438</v>
      </c>
      <c r="I1513" s="22" t="s">
        <v>40</v>
      </c>
      <c r="J1513" s="22" t="s">
        <v>32</v>
      </c>
      <c r="K1513" s="10" t="str">
        <f ca="1">DATEDIF('DATA PENDUDUK'!$G1513,TODAY(),"Y")&amp; " TAHUN"</f>
        <v>9 TAHUN</v>
      </c>
      <c r="L1513" s="24" t="s">
        <v>3459</v>
      </c>
    </row>
    <row r="1514" spans="1:12" ht="20.100000000000001" customHeight="1" x14ac:dyDescent="0.25">
      <c r="A1514" s="8">
        <f t="shared" si="23"/>
        <v>1511</v>
      </c>
      <c r="B1514" s="21" t="s">
        <v>3709</v>
      </c>
      <c r="C1514" s="21" t="s">
        <v>3716</v>
      </c>
      <c r="D1514" s="22" t="s">
        <v>3717</v>
      </c>
      <c r="E1514" s="22" t="s">
        <v>16</v>
      </c>
      <c r="F1514" s="22" t="s">
        <v>30</v>
      </c>
      <c r="G1514" s="23">
        <v>43470</v>
      </c>
      <c r="H1514" s="22" t="s">
        <v>438</v>
      </c>
      <c r="I1514" s="22" t="s">
        <v>40</v>
      </c>
      <c r="J1514" s="22" t="s">
        <v>32</v>
      </c>
      <c r="K1514" s="10" t="str">
        <f ca="1">DATEDIF('DATA PENDUDUK'!$G1514,TODAY(),"Y")&amp; " TAHUN"</f>
        <v>6 TAHUN</v>
      </c>
      <c r="L1514" s="24" t="s">
        <v>3459</v>
      </c>
    </row>
    <row r="1515" spans="1:12" ht="20.100000000000001" customHeight="1" x14ac:dyDescent="0.25">
      <c r="A1515" s="8">
        <f t="shared" si="23"/>
        <v>1512</v>
      </c>
      <c r="B1515" s="21" t="s">
        <v>682</v>
      </c>
      <c r="C1515" s="21" t="s">
        <v>683</v>
      </c>
      <c r="D1515" s="22" t="s">
        <v>684</v>
      </c>
      <c r="E1515" s="22" t="s">
        <v>16</v>
      </c>
      <c r="F1515" s="22" t="s">
        <v>118</v>
      </c>
      <c r="G1515" s="23">
        <v>24370</v>
      </c>
      <c r="H1515" s="22" t="s">
        <v>35</v>
      </c>
      <c r="I1515" s="22" t="s">
        <v>3305</v>
      </c>
      <c r="J1515" s="22" t="s">
        <v>20</v>
      </c>
      <c r="K1515" s="10" t="str">
        <f ca="1">DATEDIF('DATA PENDUDUK'!$G1515,TODAY(),"Y")&amp; " TAHUN"</f>
        <v>58 TAHUN</v>
      </c>
      <c r="L1515" s="24" t="s">
        <v>3459</v>
      </c>
    </row>
    <row r="1516" spans="1:12" ht="20.100000000000001" customHeight="1" x14ac:dyDescent="0.25">
      <c r="A1516" s="8">
        <f t="shared" si="23"/>
        <v>1513</v>
      </c>
      <c r="B1516" s="21" t="s">
        <v>682</v>
      </c>
      <c r="C1516" s="21" t="s">
        <v>686</v>
      </c>
      <c r="D1516" s="22" t="s">
        <v>687</v>
      </c>
      <c r="E1516" s="22" t="s">
        <v>24</v>
      </c>
      <c r="F1516" s="22" t="s">
        <v>118</v>
      </c>
      <c r="G1516" s="23">
        <v>24835</v>
      </c>
      <c r="H1516" s="22" t="s">
        <v>35</v>
      </c>
      <c r="I1516" s="22" t="s">
        <v>2598</v>
      </c>
      <c r="J1516" s="22" t="s">
        <v>27</v>
      </c>
      <c r="K1516" s="10" t="str">
        <f ca="1">DATEDIF('DATA PENDUDUK'!$G1516,TODAY(),"Y")&amp; " TAHUN"</f>
        <v>57 TAHUN</v>
      </c>
      <c r="L1516" s="24" t="s">
        <v>3459</v>
      </c>
    </row>
    <row r="1517" spans="1:12" ht="20.100000000000001" customHeight="1" x14ac:dyDescent="0.25">
      <c r="A1517" s="8">
        <f t="shared" si="23"/>
        <v>1514</v>
      </c>
      <c r="B1517" s="21" t="s">
        <v>682</v>
      </c>
      <c r="C1517" s="21" t="s">
        <v>688</v>
      </c>
      <c r="D1517" s="22" t="s">
        <v>689</v>
      </c>
      <c r="E1517" s="22" t="s">
        <v>16</v>
      </c>
      <c r="F1517" s="22" t="s">
        <v>30</v>
      </c>
      <c r="G1517" s="23">
        <v>38114</v>
      </c>
      <c r="H1517" s="22" t="s">
        <v>35</v>
      </c>
      <c r="I1517" s="22" t="s">
        <v>40</v>
      </c>
      <c r="J1517" s="22" t="s">
        <v>32</v>
      </c>
      <c r="K1517" s="10" t="str">
        <f ca="1">DATEDIF('DATA PENDUDUK'!$G1517,TODAY(),"Y")&amp; " TAHUN"</f>
        <v>21 TAHUN</v>
      </c>
      <c r="L1517" s="24" t="s">
        <v>3459</v>
      </c>
    </row>
    <row r="1518" spans="1:12" ht="20.100000000000001" customHeight="1" x14ac:dyDescent="0.25">
      <c r="A1518" s="8">
        <f t="shared" si="23"/>
        <v>1515</v>
      </c>
      <c r="B1518" s="21" t="s">
        <v>682</v>
      </c>
      <c r="C1518" s="21" t="s">
        <v>690</v>
      </c>
      <c r="D1518" s="22" t="s">
        <v>691</v>
      </c>
      <c r="E1518" s="22" t="s">
        <v>16</v>
      </c>
      <c r="F1518" s="22" t="s">
        <v>30</v>
      </c>
      <c r="G1518" s="23">
        <v>39939</v>
      </c>
      <c r="H1518" s="22" t="s">
        <v>35</v>
      </c>
      <c r="I1518" s="22" t="s">
        <v>40</v>
      </c>
      <c r="J1518" s="22" t="s">
        <v>530</v>
      </c>
      <c r="K1518" s="10" t="str">
        <f ca="1">DATEDIF('DATA PENDUDUK'!$G1518,TODAY(),"Y")&amp; " TAHUN"</f>
        <v>16 TAHUN</v>
      </c>
      <c r="L1518" s="24" t="s">
        <v>3459</v>
      </c>
    </row>
    <row r="1519" spans="1:12" ht="20.100000000000001" customHeight="1" x14ac:dyDescent="0.25">
      <c r="A1519" s="8">
        <f t="shared" si="23"/>
        <v>1516</v>
      </c>
      <c r="B1519" s="21" t="s">
        <v>3718</v>
      </c>
      <c r="C1519" s="21" t="s">
        <v>3719</v>
      </c>
      <c r="D1519" s="22" t="s">
        <v>3720</v>
      </c>
      <c r="E1519" s="22" t="s">
        <v>16</v>
      </c>
      <c r="F1519" s="22" t="s">
        <v>1487</v>
      </c>
      <c r="G1519" s="23">
        <v>35023</v>
      </c>
      <c r="H1519" s="22" t="s">
        <v>35</v>
      </c>
      <c r="I1519" s="22" t="s">
        <v>19</v>
      </c>
      <c r="J1519" s="22" t="s">
        <v>20</v>
      </c>
      <c r="K1519" s="10" t="str">
        <f ca="1">DATEDIF('DATA PENDUDUK'!$G1519,TODAY(),"Y")&amp; " TAHUN"</f>
        <v>29 TAHUN</v>
      </c>
      <c r="L1519" s="24" t="s">
        <v>3459</v>
      </c>
    </row>
    <row r="1520" spans="1:12" ht="20.100000000000001" customHeight="1" x14ac:dyDescent="0.25">
      <c r="A1520" s="8">
        <f t="shared" si="23"/>
        <v>1517</v>
      </c>
      <c r="B1520" s="21" t="s">
        <v>3718</v>
      </c>
      <c r="C1520" s="21" t="s">
        <v>3721</v>
      </c>
      <c r="D1520" s="22" t="s">
        <v>3722</v>
      </c>
      <c r="E1520" s="22" t="s">
        <v>16</v>
      </c>
      <c r="F1520" s="22" t="s">
        <v>30</v>
      </c>
      <c r="G1520" s="23">
        <v>44640</v>
      </c>
      <c r="H1520" s="22" t="s">
        <v>35</v>
      </c>
      <c r="I1520" s="22" t="s">
        <v>40</v>
      </c>
      <c r="J1520" s="22" t="s">
        <v>32</v>
      </c>
      <c r="K1520" s="10" t="str">
        <f ca="1">DATEDIF('DATA PENDUDUK'!$G1520,TODAY(),"Y")&amp; " TAHUN"</f>
        <v>3 TAHUN</v>
      </c>
      <c r="L1520" s="24" t="s">
        <v>3459</v>
      </c>
    </row>
    <row r="1521" spans="1:12" ht="20.100000000000001" customHeight="1" x14ac:dyDescent="0.25">
      <c r="A1521" s="8">
        <f t="shared" si="23"/>
        <v>1518</v>
      </c>
      <c r="B1521" s="21" t="s">
        <v>3718</v>
      </c>
      <c r="C1521" s="21" t="s">
        <v>3723</v>
      </c>
      <c r="D1521" s="22" t="s">
        <v>3724</v>
      </c>
      <c r="E1521" s="22" t="s">
        <v>24</v>
      </c>
      <c r="F1521" s="22" t="s">
        <v>380</v>
      </c>
      <c r="G1521" s="23">
        <v>35652</v>
      </c>
      <c r="H1521" s="22" t="s">
        <v>35</v>
      </c>
      <c r="I1521" s="22" t="s">
        <v>19</v>
      </c>
      <c r="J1521" s="22" t="s">
        <v>37</v>
      </c>
      <c r="K1521" s="10" t="str">
        <f ca="1">DATEDIF('DATA PENDUDUK'!$G1521,TODAY(),"Y")&amp; " TAHUN"</f>
        <v>27 TAHUN</v>
      </c>
      <c r="L1521" s="24" t="s">
        <v>3459</v>
      </c>
    </row>
    <row r="1522" spans="1:12" ht="20.100000000000001" customHeight="1" x14ac:dyDescent="0.25">
      <c r="A1522" s="8">
        <f t="shared" si="23"/>
        <v>1519</v>
      </c>
      <c r="B1522" s="21" t="s">
        <v>3725</v>
      </c>
      <c r="C1522" s="21" t="s">
        <v>3726</v>
      </c>
      <c r="D1522" s="22" t="s">
        <v>3727</v>
      </c>
      <c r="E1522" s="22" t="s">
        <v>16</v>
      </c>
      <c r="F1522" s="22" t="s">
        <v>366</v>
      </c>
      <c r="G1522" s="23">
        <v>28720</v>
      </c>
      <c r="H1522" s="22" t="s">
        <v>18</v>
      </c>
      <c r="I1522" s="22" t="s">
        <v>2593</v>
      </c>
      <c r="J1522" s="22" t="s">
        <v>20</v>
      </c>
      <c r="K1522" s="10" t="str">
        <f ca="1">DATEDIF('DATA PENDUDUK'!$G1522,TODAY(),"Y")&amp; " TAHUN"</f>
        <v>46 TAHUN</v>
      </c>
      <c r="L1522" s="24" t="s">
        <v>3459</v>
      </c>
    </row>
    <row r="1523" spans="1:12" ht="20.100000000000001" customHeight="1" x14ac:dyDescent="0.25">
      <c r="A1523" s="8">
        <f t="shared" si="23"/>
        <v>1520</v>
      </c>
      <c r="B1523" s="21" t="s">
        <v>3725</v>
      </c>
      <c r="C1523" s="21" t="s">
        <v>3728</v>
      </c>
      <c r="D1523" s="22" t="s">
        <v>3729</v>
      </c>
      <c r="E1523" s="22" t="s">
        <v>24</v>
      </c>
      <c r="F1523" s="22" t="s">
        <v>366</v>
      </c>
      <c r="G1523" s="23">
        <v>28720</v>
      </c>
      <c r="H1523" s="22" t="s">
        <v>18</v>
      </c>
      <c r="I1523" s="22" t="s">
        <v>2598</v>
      </c>
      <c r="J1523" s="22" t="s">
        <v>27</v>
      </c>
      <c r="K1523" s="10" t="str">
        <f ca="1">DATEDIF('DATA PENDUDUK'!$G1523,TODAY(),"Y")&amp; " TAHUN"</f>
        <v>46 TAHUN</v>
      </c>
      <c r="L1523" s="24" t="s">
        <v>3459</v>
      </c>
    </row>
    <row r="1524" spans="1:12" ht="20.100000000000001" customHeight="1" x14ac:dyDescent="0.25">
      <c r="A1524" s="8">
        <f t="shared" si="23"/>
        <v>1521</v>
      </c>
      <c r="B1524" s="21" t="s">
        <v>3725</v>
      </c>
      <c r="C1524" s="21" t="s">
        <v>3730</v>
      </c>
      <c r="D1524" s="22" t="s">
        <v>3731</v>
      </c>
      <c r="E1524" s="22" t="s">
        <v>24</v>
      </c>
      <c r="F1524" s="22" t="s">
        <v>366</v>
      </c>
      <c r="G1524" s="23">
        <v>34679</v>
      </c>
      <c r="H1524" s="22" t="s">
        <v>18</v>
      </c>
      <c r="I1524" s="22" t="s">
        <v>31</v>
      </c>
      <c r="J1524" s="22" t="s">
        <v>32</v>
      </c>
      <c r="K1524" s="10" t="str">
        <f ca="1">DATEDIF('DATA PENDUDUK'!$G1524,TODAY(),"Y")&amp; " TAHUN"</f>
        <v>30 TAHUN</v>
      </c>
      <c r="L1524" s="24" t="s">
        <v>3459</v>
      </c>
    </row>
    <row r="1525" spans="1:12" ht="20.100000000000001" customHeight="1" x14ac:dyDescent="0.25">
      <c r="A1525" s="8">
        <f t="shared" si="23"/>
        <v>1522</v>
      </c>
      <c r="B1525" s="21" t="s">
        <v>3725</v>
      </c>
      <c r="C1525" s="21" t="s">
        <v>3732</v>
      </c>
      <c r="D1525" s="22" t="s">
        <v>3733</v>
      </c>
      <c r="E1525" s="22" t="s">
        <v>24</v>
      </c>
      <c r="F1525" s="22" t="s">
        <v>366</v>
      </c>
      <c r="G1525" s="23">
        <v>35713</v>
      </c>
      <c r="H1525" s="22" t="s">
        <v>18</v>
      </c>
      <c r="I1525" s="22" t="s">
        <v>31</v>
      </c>
      <c r="J1525" s="22" t="s">
        <v>32</v>
      </c>
      <c r="K1525" s="10" t="str">
        <f ca="1">DATEDIF('DATA PENDUDUK'!$G1525,TODAY(),"Y")&amp; " TAHUN"</f>
        <v>27 TAHUN</v>
      </c>
      <c r="L1525" s="24" t="s">
        <v>3459</v>
      </c>
    </row>
    <row r="1526" spans="1:12" ht="20.100000000000001" customHeight="1" x14ac:dyDescent="0.25">
      <c r="A1526" s="8">
        <f t="shared" si="23"/>
        <v>1523</v>
      </c>
      <c r="B1526" s="21" t="s">
        <v>3725</v>
      </c>
      <c r="C1526" s="21" t="s">
        <v>3734</v>
      </c>
      <c r="D1526" s="22" t="s">
        <v>3735</v>
      </c>
      <c r="E1526" s="22" t="s">
        <v>16</v>
      </c>
      <c r="F1526" s="22" t="s">
        <v>366</v>
      </c>
      <c r="G1526" s="23">
        <v>36650</v>
      </c>
      <c r="H1526" s="22" t="s">
        <v>18</v>
      </c>
      <c r="I1526" s="22" t="s">
        <v>31</v>
      </c>
      <c r="J1526" s="22" t="s">
        <v>32</v>
      </c>
      <c r="K1526" s="10" t="str">
        <f ca="1">DATEDIF('DATA PENDUDUK'!$G1526,TODAY(),"Y")&amp; " TAHUN"</f>
        <v>25 TAHUN</v>
      </c>
      <c r="L1526" s="24" t="s">
        <v>3459</v>
      </c>
    </row>
    <row r="1527" spans="1:12" ht="20.100000000000001" customHeight="1" x14ac:dyDescent="0.25">
      <c r="A1527" s="8">
        <f t="shared" si="23"/>
        <v>1524</v>
      </c>
      <c r="B1527" s="21" t="s">
        <v>3725</v>
      </c>
      <c r="C1527" s="21" t="s">
        <v>3736</v>
      </c>
      <c r="D1527" s="22" t="s">
        <v>3737</v>
      </c>
      <c r="E1527" s="22" t="s">
        <v>16</v>
      </c>
      <c r="F1527" s="22" t="s">
        <v>366</v>
      </c>
      <c r="G1527" s="23">
        <v>37765</v>
      </c>
      <c r="H1527" s="22" t="s">
        <v>18</v>
      </c>
      <c r="I1527" s="22" t="s">
        <v>31</v>
      </c>
      <c r="J1527" s="22" t="s">
        <v>32</v>
      </c>
      <c r="K1527" s="10" t="str">
        <f ca="1">DATEDIF('DATA PENDUDUK'!$G1527,TODAY(),"Y")&amp; " TAHUN"</f>
        <v>22 TAHUN</v>
      </c>
      <c r="L1527" s="24" t="s">
        <v>3459</v>
      </c>
    </row>
    <row r="1528" spans="1:12" ht="20.100000000000001" customHeight="1" x14ac:dyDescent="0.25">
      <c r="A1528" s="8">
        <f t="shared" si="23"/>
        <v>1525</v>
      </c>
      <c r="B1528" s="21" t="s">
        <v>3725</v>
      </c>
      <c r="C1528" s="21" t="s">
        <v>3738</v>
      </c>
      <c r="D1528" s="22" t="s">
        <v>3739</v>
      </c>
      <c r="E1528" s="22" t="s">
        <v>24</v>
      </c>
      <c r="F1528" s="22" t="s">
        <v>366</v>
      </c>
      <c r="G1528" s="23">
        <v>38570</v>
      </c>
      <c r="H1528" s="22" t="s">
        <v>18</v>
      </c>
      <c r="I1528" s="22" t="s">
        <v>40</v>
      </c>
      <c r="J1528" s="22" t="s">
        <v>32</v>
      </c>
      <c r="K1528" s="10" t="str">
        <f ca="1">DATEDIF('DATA PENDUDUK'!$G1528,TODAY(),"Y")&amp; " TAHUN"</f>
        <v>19 TAHUN</v>
      </c>
      <c r="L1528" s="24" t="s">
        <v>3459</v>
      </c>
    </row>
    <row r="1529" spans="1:12" ht="20.100000000000001" customHeight="1" x14ac:dyDescent="0.25">
      <c r="A1529" s="8">
        <f t="shared" si="23"/>
        <v>1526</v>
      </c>
      <c r="B1529" s="21" t="s">
        <v>3725</v>
      </c>
      <c r="C1529" s="21" t="s">
        <v>3740</v>
      </c>
      <c r="D1529" s="22" t="s">
        <v>3741</v>
      </c>
      <c r="E1529" s="22" t="s">
        <v>24</v>
      </c>
      <c r="F1529" s="22" t="s">
        <v>366</v>
      </c>
      <c r="G1529" s="23">
        <v>39143</v>
      </c>
      <c r="H1529" s="22" t="s">
        <v>18</v>
      </c>
      <c r="I1529" s="22" t="s">
        <v>40</v>
      </c>
      <c r="J1529" s="22" t="s">
        <v>32</v>
      </c>
      <c r="K1529" s="10" t="str">
        <f ca="1">DATEDIF('DATA PENDUDUK'!$G1529,TODAY(),"Y")&amp; " TAHUN"</f>
        <v>18 TAHUN</v>
      </c>
      <c r="L1529" s="24" t="s">
        <v>3459</v>
      </c>
    </row>
    <row r="1530" spans="1:12" ht="20.100000000000001" customHeight="1" x14ac:dyDescent="0.25">
      <c r="A1530" s="8">
        <f t="shared" si="23"/>
        <v>1527</v>
      </c>
      <c r="B1530" s="21" t="s">
        <v>3725</v>
      </c>
      <c r="C1530" s="21" t="s">
        <v>3742</v>
      </c>
      <c r="D1530" s="22" t="s">
        <v>3743</v>
      </c>
      <c r="E1530" s="22" t="s">
        <v>16</v>
      </c>
      <c r="F1530" s="22" t="s">
        <v>3744</v>
      </c>
      <c r="G1530" s="23">
        <v>41135</v>
      </c>
      <c r="H1530" s="22" t="s">
        <v>18</v>
      </c>
      <c r="I1530" s="22" t="s">
        <v>40</v>
      </c>
      <c r="J1530" s="22" t="s">
        <v>32</v>
      </c>
      <c r="K1530" s="10" t="str">
        <f ca="1">DATEDIF('DATA PENDUDUK'!$G1530,TODAY(),"Y")&amp; " TAHUN"</f>
        <v>12 TAHUN</v>
      </c>
      <c r="L1530" s="24" t="s">
        <v>3459</v>
      </c>
    </row>
    <row r="1531" spans="1:12" ht="20.100000000000001" customHeight="1" x14ac:dyDescent="0.25">
      <c r="A1531" s="8">
        <f t="shared" si="23"/>
        <v>1528</v>
      </c>
      <c r="B1531" s="21" t="s">
        <v>3725</v>
      </c>
      <c r="C1531" s="21" t="s">
        <v>3745</v>
      </c>
      <c r="D1531" s="22" t="s">
        <v>3746</v>
      </c>
      <c r="E1531" s="22" t="s">
        <v>16</v>
      </c>
      <c r="F1531" s="22" t="s">
        <v>3747</v>
      </c>
      <c r="G1531" s="23">
        <v>41917</v>
      </c>
      <c r="H1531" s="22" t="s">
        <v>18</v>
      </c>
      <c r="I1531" s="22" t="s">
        <v>40</v>
      </c>
      <c r="J1531" s="22" t="s">
        <v>32</v>
      </c>
      <c r="K1531" s="10" t="str">
        <f ca="1">DATEDIF('DATA PENDUDUK'!$G1531,TODAY(),"Y")&amp; " TAHUN"</f>
        <v>10 TAHUN</v>
      </c>
      <c r="L1531" s="24" t="s">
        <v>3459</v>
      </c>
    </row>
    <row r="1532" spans="1:12" ht="20.100000000000001" customHeight="1" x14ac:dyDescent="0.25">
      <c r="A1532" s="8">
        <f t="shared" si="23"/>
        <v>1529</v>
      </c>
      <c r="B1532" s="21" t="s">
        <v>3748</v>
      </c>
      <c r="C1532" s="21" t="s">
        <v>3749</v>
      </c>
      <c r="D1532" s="22" t="s">
        <v>3750</v>
      </c>
      <c r="E1532" s="22" t="s">
        <v>16</v>
      </c>
      <c r="F1532" s="22" t="s">
        <v>110</v>
      </c>
      <c r="G1532" s="23">
        <v>26196</v>
      </c>
      <c r="H1532" s="22" t="s">
        <v>438</v>
      </c>
      <c r="I1532" s="22" t="s">
        <v>19</v>
      </c>
      <c r="J1532" s="22" t="s">
        <v>20</v>
      </c>
      <c r="K1532" s="10" t="str">
        <f ca="1">DATEDIF('DATA PENDUDUK'!$G1532,TODAY(),"Y")&amp; " TAHUN"</f>
        <v>53 TAHUN</v>
      </c>
      <c r="L1532" s="24" t="s">
        <v>3459</v>
      </c>
    </row>
    <row r="1533" spans="1:12" ht="20.100000000000001" customHeight="1" x14ac:dyDescent="0.25">
      <c r="A1533" s="8">
        <f t="shared" si="23"/>
        <v>1530</v>
      </c>
      <c r="B1533" s="21" t="s">
        <v>3748</v>
      </c>
      <c r="C1533" s="21" t="s">
        <v>3751</v>
      </c>
      <c r="D1533" s="22" t="s">
        <v>3752</v>
      </c>
      <c r="E1533" s="22" t="s">
        <v>24</v>
      </c>
      <c r="F1533" s="22" t="s">
        <v>3753</v>
      </c>
      <c r="G1533" s="23">
        <v>27039</v>
      </c>
      <c r="H1533" s="22" t="s">
        <v>438</v>
      </c>
      <c r="I1533" s="22" t="s">
        <v>2598</v>
      </c>
      <c r="J1533" s="22" t="s">
        <v>27</v>
      </c>
      <c r="K1533" s="10" t="str">
        <f ca="1">DATEDIF('DATA PENDUDUK'!$G1533,TODAY(),"Y")&amp; " TAHUN"</f>
        <v>51 TAHUN</v>
      </c>
      <c r="L1533" s="24" t="s">
        <v>3459</v>
      </c>
    </row>
    <row r="1534" spans="1:12" ht="20.100000000000001" customHeight="1" x14ac:dyDescent="0.25">
      <c r="A1534" s="8">
        <f t="shared" si="23"/>
        <v>1531</v>
      </c>
      <c r="B1534" s="21" t="s">
        <v>3748</v>
      </c>
      <c r="C1534" s="21" t="s">
        <v>3754</v>
      </c>
      <c r="D1534" s="22" t="s">
        <v>3755</v>
      </c>
      <c r="E1534" s="22" t="s">
        <v>16</v>
      </c>
      <c r="F1534" s="22" t="s">
        <v>889</v>
      </c>
      <c r="G1534" s="23">
        <v>35075</v>
      </c>
      <c r="H1534" s="22" t="s">
        <v>438</v>
      </c>
      <c r="I1534" s="22" t="s">
        <v>31</v>
      </c>
      <c r="J1534" s="22" t="s">
        <v>32</v>
      </c>
      <c r="K1534" s="10" t="str">
        <f ca="1">DATEDIF('DATA PENDUDUK'!$G1534,TODAY(),"Y")&amp; " TAHUN"</f>
        <v>29 TAHUN</v>
      </c>
      <c r="L1534" s="24" t="s">
        <v>3459</v>
      </c>
    </row>
    <row r="1535" spans="1:12" ht="20.100000000000001" customHeight="1" x14ac:dyDescent="0.25">
      <c r="A1535" s="8">
        <f t="shared" si="23"/>
        <v>1532</v>
      </c>
      <c r="B1535" s="21" t="s">
        <v>3748</v>
      </c>
      <c r="C1535" s="21" t="s">
        <v>3756</v>
      </c>
      <c r="D1535" s="22" t="s">
        <v>3757</v>
      </c>
      <c r="E1535" s="22" t="s">
        <v>16</v>
      </c>
      <c r="F1535" s="22" t="s">
        <v>889</v>
      </c>
      <c r="G1535" s="23">
        <v>35850</v>
      </c>
      <c r="H1535" s="22" t="s">
        <v>438</v>
      </c>
      <c r="I1535" s="22" t="s">
        <v>31</v>
      </c>
      <c r="J1535" s="22" t="s">
        <v>32</v>
      </c>
      <c r="K1535" s="10" t="str">
        <f ca="1">DATEDIF('DATA PENDUDUK'!$G1535,TODAY(),"Y")&amp; " TAHUN"</f>
        <v>27 TAHUN</v>
      </c>
      <c r="L1535" s="24" t="s">
        <v>3459</v>
      </c>
    </row>
    <row r="1536" spans="1:12" ht="20.100000000000001" customHeight="1" x14ac:dyDescent="0.25">
      <c r="A1536" s="8">
        <f t="shared" si="23"/>
        <v>1533</v>
      </c>
      <c r="B1536" s="21" t="s">
        <v>3748</v>
      </c>
      <c r="C1536" s="21" t="s">
        <v>3758</v>
      </c>
      <c r="D1536" s="22" t="s">
        <v>3759</v>
      </c>
      <c r="E1536" s="22" t="s">
        <v>16</v>
      </c>
      <c r="F1536" s="22" t="s">
        <v>889</v>
      </c>
      <c r="G1536" s="23">
        <v>36915</v>
      </c>
      <c r="H1536" s="22" t="s">
        <v>438</v>
      </c>
      <c r="I1536" s="22" t="s">
        <v>31</v>
      </c>
      <c r="J1536" s="22" t="s">
        <v>32</v>
      </c>
      <c r="K1536" s="10" t="str">
        <f ca="1">DATEDIF('DATA PENDUDUK'!$G1536,TODAY(),"Y")&amp; " TAHUN"</f>
        <v>24 TAHUN</v>
      </c>
      <c r="L1536" s="24" t="s">
        <v>3459</v>
      </c>
    </row>
    <row r="1537" spans="1:12" ht="20.100000000000001" customHeight="1" x14ac:dyDescent="0.25">
      <c r="A1537" s="8">
        <f t="shared" si="23"/>
        <v>1534</v>
      </c>
      <c r="B1537" s="21" t="s">
        <v>3760</v>
      </c>
      <c r="C1537" s="21" t="s">
        <v>3761</v>
      </c>
      <c r="D1537" s="22" t="s">
        <v>3762</v>
      </c>
      <c r="E1537" s="22" t="s">
        <v>16</v>
      </c>
      <c r="F1537" s="22" t="s">
        <v>3763</v>
      </c>
      <c r="G1537" s="23">
        <v>26344</v>
      </c>
      <c r="H1537" s="22" t="s">
        <v>35</v>
      </c>
      <c r="I1537" s="22" t="s">
        <v>3764</v>
      </c>
      <c r="J1537" s="22" t="s">
        <v>20</v>
      </c>
      <c r="K1537" s="10" t="str">
        <f ca="1">DATEDIF('DATA PENDUDUK'!$G1537,TODAY(),"Y")&amp; " TAHUN"</f>
        <v>53 TAHUN</v>
      </c>
      <c r="L1537" s="24" t="s">
        <v>3459</v>
      </c>
    </row>
    <row r="1538" spans="1:12" ht="20.100000000000001" customHeight="1" x14ac:dyDescent="0.25">
      <c r="A1538" s="8">
        <f t="shared" si="23"/>
        <v>1535</v>
      </c>
      <c r="B1538" s="21" t="s">
        <v>3760</v>
      </c>
      <c r="C1538" s="21" t="s">
        <v>3765</v>
      </c>
      <c r="D1538" s="22" t="s">
        <v>3766</v>
      </c>
      <c r="E1538" s="22" t="s">
        <v>24</v>
      </c>
      <c r="F1538" s="22" t="s">
        <v>87</v>
      </c>
      <c r="G1538" s="23">
        <v>22008</v>
      </c>
      <c r="H1538" s="22" t="s">
        <v>35</v>
      </c>
      <c r="I1538" s="22" t="s">
        <v>2598</v>
      </c>
      <c r="J1538" s="22" t="s">
        <v>27</v>
      </c>
      <c r="K1538" s="10" t="str">
        <f ca="1">DATEDIF('DATA PENDUDUK'!$G1538,TODAY(),"Y")&amp; " TAHUN"</f>
        <v>65 TAHUN</v>
      </c>
      <c r="L1538" s="24" t="s">
        <v>3459</v>
      </c>
    </row>
    <row r="1539" spans="1:12" ht="20.100000000000001" customHeight="1" x14ac:dyDescent="0.25">
      <c r="A1539" s="8">
        <f t="shared" si="23"/>
        <v>1536</v>
      </c>
      <c r="B1539" s="21" t="s">
        <v>3760</v>
      </c>
      <c r="C1539" s="21" t="s">
        <v>3767</v>
      </c>
      <c r="D1539" s="22" t="s">
        <v>3768</v>
      </c>
      <c r="E1539" s="22" t="s">
        <v>24</v>
      </c>
      <c r="F1539" s="22" t="s">
        <v>87</v>
      </c>
      <c r="G1539" s="23">
        <v>35361</v>
      </c>
      <c r="H1539" s="22" t="s">
        <v>35</v>
      </c>
      <c r="I1539" s="22" t="s">
        <v>31</v>
      </c>
      <c r="J1539" s="22" t="s">
        <v>32</v>
      </c>
      <c r="K1539" s="10" t="str">
        <f ca="1">DATEDIF('DATA PENDUDUK'!$G1539,TODAY(),"Y")&amp; " TAHUN"</f>
        <v>28 TAHUN</v>
      </c>
      <c r="L1539" s="24" t="s">
        <v>3459</v>
      </c>
    </row>
    <row r="1540" spans="1:12" ht="20.100000000000001" customHeight="1" x14ac:dyDescent="0.25">
      <c r="A1540" s="8">
        <f t="shared" si="23"/>
        <v>1537</v>
      </c>
      <c r="B1540" s="21" t="s">
        <v>3760</v>
      </c>
      <c r="C1540" s="21" t="s">
        <v>3769</v>
      </c>
      <c r="D1540" s="22" t="s">
        <v>3770</v>
      </c>
      <c r="E1540" s="22" t="s">
        <v>16</v>
      </c>
      <c r="F1540" s="22" t="s">
        <v>3771</v>
      </c>
      <c r="G1540" s="23">
        <v>40836</v>
      </c>
      <c r="H1540" s="22" t="s">
        <v>35</v>
      </c>
      <c r="I1540" s="22" t="s">
        <v>40</v>
      </c>
      <c r="J1540" s="22" t="s">
        <v>37</v>
      </c>
      <c r="K1540" s="10" t="str">
        <f ca="1">DATEDIF('DATA PENDUDUK'!$G1540,TODAY(),"Y")&amp; " TAHUN"</f>
        <v>13 TAHUN</v>
      </c>
      <c r="L1540" s="24" t="s">
        <v>3459</v>
      </c>
    </row>
    <row r="1541" spans="1:12" ht="20.100000000000001" customHeight="1" x14ac:dyDescent="0.25">
      <c r="A1541" s="8">
        <f t="shared" si="23"/>
        <v>1538</v>
      </c>
      <c r="B1541" s="21" t="s">
        <v>3772</v>
      </c>
      <c r="C1541" s="21" t="s">
        <v>3773</v>
      </c>
      <c r="D1541" s="22" t="s">
        <v>3774</v>
      </c>
      <c r="E1541" s="22" t="s">
        <v>16</v>
      </c>
      <c r="F1541" s="22" t="s">
        <v>1520</v>
      </c>
      <c r="G1541" s="23">
        <v>20938</v>
      </c>
      <c r="H1541" s="22" t="s">
        <v>438</v>
      </c>
      <c r="I1541" s="22" t="s">
        <v>789</v>
      </c>
      <c r="J1541" s="22" t="s">
        <v>20</v>
      </c>
      <c r="K1541" s="10" t="str">
        <f ca="1">DATEDIF('DATA PENDUDUK'!$G1541,TODAY(),"Y")&amp; " TAHUN"</f>
        <v>68 TAHUN</v>
      </c>
      <c r="L1541" s="24" t="s">
        <v>3775</v>
      </c>
    </row>
    <row r="1542" spans="1:12" ht="20.100000000000001" customHeight="1" x14ac:dyDescent="0.25">
      <c r="A1542" s="8">
        <f t="shared" ref="A1542:A1605" si="24">IF(D1542="","",ROW()-3)</f>
        <v>1539</v>
      </c>
      <c r="B1542" s="21" t="s">
        <v>3772</v>
      </c>
      <c r="C1542" s="21" t="s">
        <v>3776</v>
      </c>
      <c r="D1542" s="22" t="s">
        <v>3777</v>
      </c>
      <c r="E1542" s="22" t="s">
        <v>24</v>
      </c>
      <c r="F1542" s="22" t="s">
        <v>158</v>
      </c>
      <c r="G1542" s="23">
        <v>21207</v>
      </c>
      <c r="H1542" s="22" t="s">
        <v>438</v>
      </c>
      <c r="I1542" s="22" t="s">
        <v>2598</v>
      </c>
      <c r="J1542" s="22" t="s">
        <v>27</v>
      </c>
      <c r="K1542" s="10" t="str">
        <f ca="1">DATEDIF('DATA PENDUDUK'!$G1542,TODAY(),"Y")&amp; " TAHUN"</f>
        <v>67 TAHUN</v>
      </c>
      <c r="L1542" s="24" t="s">
        <v>3775</v>
      </c>
    </row>
    <row r="1543" spans="1:12" ht="20.100000000000001" customHeight="1" x14ac:dyDescent="0.25">
      <c r="A1543" s="8">
        <f t="shared" si="24"/>
        <v>1540</v>
      </c>
      <c r="B1543" s="21" t="s">
        <v>3772</v>
      </c>
      <c r="C1543" s="21" t="s">
        <v>3778</v>
      </c>
      <c r="D1543" s="22" t="s">
        <v>3779</v>
      </c>
      <c r="E1543" s="22" t="s">
        <v>16</v>
      </c>
      <c r="F1543" s="22" t="s">
        <v>158</v>
      </c>
      <c r="G1543" s="23">
        <v>33713</v>
      </c>
      <c r="H1543" s="22" t="s">
        <v>438</v>
      </c>
      <c r="I1543" s="22" t="s">
        <v>40</v>
      </c>
      <c r="J1543" s="22" t="s">
        <v>32</v>
      </c>
      <c r="K1543" s="10" t="str">
        <f ca="1">DATEDIF('DATA PENDUDUK'!$G1543,TODAY(),"Y")&amp; " TAHUN"</f>
        <v>33 TAHUN</v>
      </c>
      <c r="L1543" s="24" t="s">
        <v>3775</v>
      </c>
    </row>
    <row r="1544" spans="1:12" ht="20.100000000000001" customHeight="1" x14ac:dyDescent="0.25">
      <c r="A1544" s="8">
        <f t="shared" si="24"/>
        <v>1541</v>
      </c>
      <c r="B1544" s="21" t="s">
        <v>3772</v>
      </c>
      <c r="C1544" s="21" t="s">
        <v>3780</v>
      </c>
      <c r="D1544" s="22" t="s">
        <v>3781</v>
      </c>
      <c r="E1544" s="22" t="s">
        <v>16</v>
      </c>
      <c r="F1544" s="22" t="s">
        <v>158</v>
      </c>
      <c r="G1544" s="23">
        <v>33713</v>
      </c>
      <c r="H1544" s="22" t="s">
        <v>438</v>
      </c>
      <c r="I1544" s="22" t="s">
        <v>31</v>
      </c>
      <c r="J1544" s="22" t="s">
        <v>32</v>
      </c>
      <c r="K1544" s="10" t="str">
        <f ca="1">DATEDIF('DATA PENDUDUK'!$G1544,TODAY(),"Y")&amp; " TAHUN"</f>
        <v>33 TAHUN</v>
      </c>
      <c r="L1544" s="24" t="s">
        <v>3775</v>
      </c>
    </row>
    <row r="1545" spans="1:12" ht="20.100000000000001" customHeight="1" x14ac:dyDescent="0.25">
      <c r="A1545" s="8">
        <f t="shared" si="24"/>
        <v>1542</v>
      </c>
      <c r="B1545" s="21" t="s">
        <v>3772</v>
      </c>
      <c r="C1545" s="21" t="s">
        <v>3782</v>
      </c>
      <c r="D1545" s="22" t="s">
        <v>3783</v>
      </c>
      <c r="E1545" s="22" t="s">
        <v>24</v>
      </c>
      <c r="F1545" s="22" t="s">
        <v>885</v>
      </c>
      <c r="G1545" s="23">
        <v>37276</v>
      </c>
      <c r="H1545" s="22" t="s">
        <v>438</v>
      </c>
      <c r="I1545" s="22" t="s">
        <v>31</v>
      </c>
      <c r="J1545" s="22" t="s">
        <v>32</v>
      </c>
      <c r="K1545" s="10" t="str">
        <f ca="1">DATEDIF('DATA PENDUDUK'!$G1545,TODAY(),"Y")&amp; " TAHUN"</f>
        <v>23 TAHUN</v>
      </c>
      <c r="L1545" s="24" t="s">
        <v>3775</v>
      </c>
    </row>
    <row r="1546" spans="1:12" ht="20.100000000000001" customHeight="1" x14ac:dyDescent="0.25">
      <c r="A1546" s="8">
        <f t="shared" si="24"/>
        <v>1543</v>
      </c>
      <c r="B1546" s="21" t="s">
        <v>3772</v>
      </c>
      <c r="C1546" s="21" t="s">
        <v>3784</v>
      </c>
      <c r="D1546" s="22" t="s">
        <v>3785</v>
      </c>
      <c r="E1546" s="22" t="s">
        <v>24</v>
      </c>
      <c r="F1546" s="22" t="s">
        <v>158</v>
      </c>
      <c r="G1546" s="23">
        <v>38434</v>
      </c>
      <c r="H1546" s="22" t="s">
        <v>438</v>
      </c>
      <c r="I1546" s="22" t="s">
        <v>40</v>
      </c>
      <c r="J1546" s="22" t="s">
        <v>32</v>
      </c>
      <c r="K1546" s="10" t="str">
        <f ca="1">DATEDIF('DATA PENDUDUK'!$G1546,TODAY(),"Y")&amp; " TAHUN"</f>
        <v>20 TAHUN</v>
      </c>
      <c r="L1546" s="24" t="s">
        <v>3775</v>
      </c>
    </row>
    <row r="1547" spans="1:12" ht="20.100000000000001" customHeight="1" x14ac:dyDescent="0.25">
      <c r="A1547" s="8">
        <f t="shared" si="24"/>
        <v>1544</v>
      </c>
      <c r="B1547" s="21" t="s">
        <v>3786</v>
      </c>
      <c r="C1547" s="21" t="s">
        <v>3787</v>
      </c>
      <c r="D1547" s="22" t="s">
        <v>3788</v>
      </c>
      <c r="E1547" s="22" t="s">
        <v>16</v>
      </c>
      <c r="F1547" s="22" t="s">
        <v>3083</v>
      </c>
      <c r="G1547" s="23">
        <v>27887</v>
      </c>
      <c r="H1547" s="22" t="s">
        <v>35</v>
      </c>
      <c r="I1547" s="22" t="s">
        <v>19</v>
      </c>
      <c r="J1547" s="22" t="s">
        <v>20</v>
      </c>
      <c r="K1547" s="10" t="str">
        <f ca="1">DATEDIF('DATA PENDUDUK'!$G1547,TODAY(),"Y")&amp; " TAHUN"</f>
        <v>49 TAHUN</v>
      </c>
      <c r="L1547" s="24" t="s">
        <v>3775</v>
      </c>
    </row>
    <row r="1548" spans="1:12" ht="20.100000000000001" customHeight="1" x14ac:dyDescent="0.25">
      <c r="A1548" s="8">
        <f t="shared" si="24"/>
        <v>1545</v>
      </c>
      <c r="B1548" s="21" t="s">
        <v>3786</v>
      </c>
      <c r="C1548" s="21" t="s">
        <v>3789</v>
      </c>
      <c r="D1548" s="22" t="s">
        <v>2497</v>
      </c>
      <c r="E1548" s="22" t="s">
        <v>24</v>
      </c>
      <c r="F1548" s="22" t="s">
        <v>1868</v>
      </c>
      <c r="G1548" s="23">
        <v>28418</v>
      </c>
      <c r="H1548" s="22" t="s">
        <v>35</v>
      </c>
      <c r="I1548" s="22" t="s">
        <v>2598</v>
      </c>
      <c r="J1548" s="22" t="s">
        <v>27</v>
      </c>
      <c r="K1548" s="10" t="str">
        <f ca="1">DATEDIF('DATA PENDUDUK'!$G1548,TODAY(),"Y")&amp; " TAHUN"</f>
        <v>47 TAHUN</v>
      </c>
      <c r="L1548" s="24" t="s">
        <v>3775</v>
      </c>
    </row>
    <row r="1549" spans="1:12" ht="20.100000000000001" customHeight="1" x14ac:dyDescent="0.25">
      <c r="A1549" s="8">
        <f t="shared" si="24"/>
        <v>1546</v>
      </c>
      <c r="B1549" s="21" t="s">
        <v>3786</v>
      </c>
      <c r="C1549" s="21" t="s">
        <v>3790</v>
      </c>
      <c r="D1549" s="22" t="s">
        <v>3791</v>
      </c>
      <c r="E1549" s="22" t="s">
        <v>16</v>
      </c>
      <c r="F1549" s="22" t="s">
        <v>629</v>
      </c>
      <c r="G1549" s="23">
        <v>39736</v>
      </c>
      <c r="H1549" s="22" t="s">
        <v>35</v>
      </c>
      <c r="I1549" s="22" t="s">
        <v>40</v>
      </c>
      <c r="J1549" s="22" t="s">
        <v>32</v>
      </c>
      <c r="K1549" s="10" t="str">
        <f ca="1">DATEDIF('DATA PENDUDUK'!$G1549,TODAY(),"Y")&amp; " TAHUN"</f>
        <v>16 TAHUN</v>
      </c>
      <c r="L1549" s="24" t="s">
        <v>3775</v>
      </c>
    </row>
    <row r="1550" spans="1:12" ht="20.100000000000001" customHeight="1" x14ac:dyDescent="0.25">
      <c r="A1550" s="8">
        <f t="shared" si="24"/>
        <v>1547</v>
      </c>
      <c r="B1550" s="21" t="s">
        <v>3786</v>
      </c>
      <c r="C1550" s="21" t="s">
        <v>3792</v>
      </c>
      <c r="D1550" s="22" t="s">
        <v>3793</v>
      </c>
      <c r="E1550" s="22" t="s">
        <v>16</v>
      </c>
      <c r="F1550" s="22" t="s">
        <v>30</v>
      </c>
      <c r="G1550" s="23">
        <v>41185</v>
      </c>
      <c r="H1550" s="22" t="s">
        <v>35</v>
      </c>
      <c r="I1550" s="22" t="s">
        <v>40</v>
      </c>
      <c r="J1550" s="22" t="s">
        <v>32</v>
      </c>
      <c r="K1550" s="10" t="str">
        <f ca="1">DATEDIF('DATA PENDUDUK'!$G1550,TODAY(),"Y")&amp; " TAHUN"</f>
        <v>12 TAHUN</v>
      </c>
      <c r="L1550" s="24" t="s">
        <v>3775</v>
      </c>
    </row>
    <row r="1551" spans="1:12" ht="20.100000000000001" customHeight="1" x14ac:dyDescent="0.25">
      <c r="A1551" s="8">
        <f t="shared" si="24"/>
        <v>1548</v>
      </c>
      <c r="B1551" s="21" t="s">
        <v>3794</v>
      </c>
      <c r="C1551" s="21" t="s">
        <v>3795</v>
      </c>
      <c r="D1551" s="22" t="s">
        <v>3796</v>
      </c>
      <c r="E1551" s="22" t="s">
        <v>24</v>
      </c>
      <c r="F1551" s="22" t="s">
        <v>3797</v>
      </c>
      <c r="G1551" s="23">
        <v>33611</v>
      </c>
      <c r="H1551" s="22" t="s">
        <v>438</v>
      </c>
      <c r="I1551" s="22" t="s">
        <v>40</v>
      </c>
      <c r="J1551" s="22" t="s">
        <v>20</v>
      </c>
      <c r="K1551" s="10" t="str">
        <f ca="1">DATEDIF('DATA PENDUDUK'!$G1551,TODAY(),"Y")&amp; " TAHUN"</f>
        <v>33 TAHUN</v>
      </c>
      <c r="L1551" s="24" t="s">
        <v>3775</v>
      </c>
    </row>
    <row r="1552" spans="1:12" ht="20.100000000000001" customHeight="1" x14ac:dyDescent="0.25">
      <c r="A1552" s="8">
        <f t="shared" si="24"/>
        <v>1549</v>
      </c>
      <c r="B1552" s="21" t="s">
        <v>3794</v>
      </c>
      <c r="C1552" s="21" t="s">
        <v>3798</v>
      </c>
      <c r="D1552" s="22" t="s">
        <v>3799</v>
      </c>
      <c r="E1552" s="22" t="s">
        <v>16</v>
      </c>
      <c r="F1552" s="22" t="s">
        <v>989</v>
      </c>
      <c r="G1552" s="23">
        <v>36959</v>
      </c>
      <c r="H1552" s="22" t="s">
        <v>438</v>
      </c>
      <c r="I1552" s="22" t="s">
        <v>40</v>
      </c>
      <c r="J1552" s="22" t="s">
        <v>32</v>
      </c>
      <c r="K1552" s="10" t="str">
        <f ca="1">DATEDIF('DATA PENDUDUK'!$G1552,TODAY(),"Y")&amp; " TAHUN"</f>
        <v>24 TAHUN</v>
      </c>
      <c r="L1552" s="24" t="s">
        <v>3775</v>
      </c>
    </row>
    <row r="1553" spans="1:12" ht="20.100000000000001" customHeight="1" x14ac:dyDescent="0.25">
      <c r="A1553" s="8">
        <f t="shared" si="24"/>
        <v>1550</v>
      </c>
      <c r="B1553" s="21" t="s">
        <v>3800</v>
      </c>
      <c r="C1553" s="21" t="s">
        <v>3801</v>
      </c>
      <c r="D1553" s="22" t="s">
        <v>3802</v>
      </c>
      <c r="E1553" s="22" t="s">
        <v>16</v>
      </c>
      <c r="F1553" s="22" t="s">
        <v>955</v>
      </c>
      <c r="G1553" s="23">
        <v>28686</v>
      </c>
      <c r="H1553" s="22" t="s">
        <v>438</v>
      </c>
      <c r="I1553" s="22" t="s">
        <v>2593</v>
      </c>
      <c r="J1553" s="22" t="s">
        <v>20</v>
      </c>
      <c r="K1553" s="10" t="str">
        <f ca="1">DATEDIF('DATA PENDUDUK'!$G1553,TODAY(),"Y")&amp; " TAHUN"</f>
        <v>47 TAHUN</v>
      </c>
      <c r="L1553" s="24" t="s">
        <v>3775</v>
      </c>
    </row>
    <row r="1554" spans="1:12" ht="20.100000000000001" customHeight="1" x14ac:dyDescent="0.25">
      <c r="A1554" s="8">
        <f t="shared" si="24"/>
        <v>1551</v>
      </c>
      <c r="B1554" s="21" t="s">
        <v>3800</v>
      </c>
      <c r="C1554" s="21" t="s">
        <v>3803</v>
      </c>
      <c r="D1554" s="22" t="s">
        <v>3804</v>
      </c>
      <c r="E1554" s="22" t="s">
        <v>24</v>
      </c>
      <c r="F1554" s="22" t="s">
        <v>955</v>
      </c>
      <c r="G1554" s="23">
        <v>29710</v>
      </c>
      <c r="H1554" s="22" t="s">
        <v>438</v>
      </c>
      <c r="I1554" s="22" t="s">
        <v>2598</v>
      </c>
      <c r="J1554" s="22" t="s">
        <v>27</v>
      </c>
      <c r="K1554" s="10" t="str">
        <f ca="1">DATEDIF('DATA PENDUDUK'!$G1554,TODAY(),"Y")&amp; " TAHUN"</f>
        <v>44 TAHUN</v>
      </c>
      <c r="L1554" s="24" t="s">
        <v>3775</v>
      </c>
    </row>
    <row r="1555" spans="1:12" ht="20.100000000000001" customHeight="1" x14ac:dyDescent="0.25">
      <c r="A1555" s="8">
        <f t="shared" si="24"/>
        <v>1552</v>
      </c>
      <c r="B1555" s="21" t="s">
        <v>3800</v>
      </c>
      <c r="C1555" s="21" t="s">
        <v>3805</v>
      </c>
      <c r="D1555" s="22" t="s">
        <v>3806</v>
      </c>
      <c r="E1555" s="22" t="s">
        <v>24</v>
      </c>
      <c r="F1555" s="22" t="s">
        <v>30</v>
      </c>
      <c r="G1555" s="23">
        <v>38355</v>
      </c>
      <c r="H1555" s="22" t="s">
        <v>438</v>
      </c>
      <c r="I1555" s="22" t="s">
        <v>31</v>
      </c>
      <c r="J1555" s="22" t="s">
        <v>32</v>
      </c>
      <c r="K1555" s="10" t="str">
        <f ca="1">DATEDIF('DATA PENDUDUK'!$G1555,TODAY(),"Y")&amp; " TAHUN"</f>
        <v>20 TAHUN</v>
      </c>
      <c r="L1555" s="24" t="s">
        <v>3775</v>
      </c>
    </row>
    <row r="1556" spans="1:12" ht="20.100000000000001" customHeight="1" x14ac:dyDescent="0.25">
      <c r="A1556" s="8">
        <f t="shared" si="24"/>
        <v>1553</v>
      </c>
      <c r="B1556" s="21" t="s">
        <v>3800</v>
      </c>
      <c r="C1556" s="21" t="s">
        <v>3807</v>
      </c>
      <c r="D1556" s="22" t="s">
        <v>3808</v>
      </c>
      <c r="E1556" s="22" t="s">
        <v>16</v>
      </c>
      <c r="F1556" s="22" t="s">
        <v>30</v>
      </c>
      <c r="G1556" s="23">
        <v>39693</v>
      </c>
      <c r="H1556" s="22" t="s">
        <v>438</v>
      </c>
      <c r="I1556" s="22" t="s">
        <v>40</v>
      </c>
      <c r="J1556" s="22" t="s">
        <v>32</v>
      </c>
      <c r="K1556" s="10" t="str">
        <f ca="1">DATEDIF('DATA PENDUDUK'!$G1556,TODAY(),"Y")&amp; " TAHUN"</f>
        <v>16 TAHUN</v>
      </c>
      <c r="L1556" s="24" t="s">
        <v>3775</v>
      </c>
    </row>
    <row r="1557" spans="1:12" ht="20.100000000000001" customHeight="1" x14ac:dyDescent="0.25">
      <c r="A1557" s="8">
        <f t="shared" si="24"/>
        <v>1554</v>
      </c>
      <c r="B1557" s="21" t="s">
        <v>3800</v>
      </c>
      <c r="C1557" s="21" t="s">
        <v>3809</v>
      </c>
      <c r="D1557" s="22" t="s">
        <v>3810</v>
      </c>
      <c r="E1557" s="22" t="s">
        <v>24</v>
      </c>
      <c r="F1557" s="22" t="s">
        <v>30</v>
      </c>
      <c r="G1557" s="23">
        <v>40734</v>
      </c>
      <c r="H1557" s="22" t="s">
        <v>438</v>
      </c>
      <c r="I1557" s="22" t="s">
        <v>40</v>
      </c>
      <c r="J1557" s="22" t="s">
        <v>32</v>
      </c>
      <c r="K1557" s="10" t="str">
        <f ca="1">DATEDIF('DATA PENDUDUK'!$G1557,TODAY(),"Y")&amp; " TAHUN"</f>
        <v>14 TAHUN</v>
      </c>
      <c r="L1557" s="24" t="s">
        <v>3775</v>
      </c>
    </row>
    <row r="1558" spans="1:12" ht="20.100000000000001" customHeight="1" x14ac:dyDescent="0.25">
      <c r="A1558" s="8">
        <f t="shared" si="24"/>
        <v>1555</v>
      </c>
      <c r="B1558" s="21" t="s">
        <v>3800</v>
      </c>
      <c r="C1558" s="21" t="s">
        <v>3811</v>
      </c>
      <c r="D1558" s="22" t="s">
        <v>3812</v>
      </c>
      <c r="E1558" s="22" t="s">
        <v>24</v>
      </c>
      <c r="F1558" s="22" t="s">
        <v>30</v>
      </c>
      <c r="G1558" s="23">
        <v>41717</v>
      </c>
      <c r="H1558" s="22" t="s">
        <v>438</v>
      </c>
      <c r="I1558" s="22" t="s">
        <v>40</v>
      </c>
      <c r="J1558" s="22" t="s">
        <v>32</v>
      </c>
      <c r="K1558" s="10" t="str">
        <f ca="1">DATEDIF('DATA PENDUDUK'!$G1558,TODAY(),"Y")&amp; " TAHUN"</f>
        <v>11 TAHUN</v>
      </c>
      <c r="L1558" s="24" t="s">
        <v>3775</v>
      </c>
    </row>
    <row r="1559" spans="1:12" ht="20.100000000000001" customHeight="1" x14ac:dyDescent="0.25">
      <c r="A1559" s="8">
        <f t="shared" si="24"/>
        <v>1556</v>
      </c>
      <c r="B1559" s="21" t="s">
        <v>3813</v>
      </c>
      <c r="C1559" s="21" t="s">
        <v>3814</v>
      </c>
      <c r="D1559" s="22" t="s">
        <v>3815</v>
      </c>
      <c r="E1559" s="22" t="s">
        <v>24</v>
      </c>
      <c r="F1559" s="22" t="s">
        <v>889</v>
      </c>
      <c r="G1559" s="23">
        <v>33101</v>
      </c>
      <c r="H1559" s="22" t="s">
        <v>18</v>
      </c>
      <c r="I1559" s="22" t="s">
        <v>2598</v>
      </c>
      <c r="J1559" s="22" t="s">
        <v>20</v>
      </c>
      <c r="K1559" s="10" t="str">
        <f ca="1">DATEDIF('DATA PENDUDUK'!$G1559,TODAY(),"Y")&amp; " TAHUN"</f>
        <v>34 TAHUN</v>
      </c>
      <c r="L1559" s="24" t="s">
        <v>3775</v>
      </c>
    </row>
    <row r="1560" spans="1:12" ht="20.100000000000001" customHeight="1" x14ac:dyDescent="0.25">
      <c r="A1560" s="8">
        <f t="shared" si="24"/>
        <v>1557</v>
      </c>
      <c r="B1560" s="21" t="s">
        <v>3813</v>
      </c>
      <c r="C1560" s="21" t="s">
        <v>3816</v>
      </c>
      <c r="D1560" s="22" t="s">
        <v>3817</v>
      </c>
      <c r="E1560" s="22" t="s">
        <v>24</v>
      </c>
      <c r="F1560" s="22" t="s">
        <v>30</v>
      </c>
      <c r="G1560" s="23">
        <v>41068</v>
      </c>
      <c r="H1560" s="22" t="s">
        <v>18</v>
      </c>
      <c r="I1560" s="22" t="s">
        <v>40</v>
      </c>
      <c r="J1560" s="22" t="s">
        <v>32</v>
      </c>
      <c r="K1560" s="10" t="str">
        <f ca="1">DATEDIF('DATA PENDUDUK'!$G1560,TODAY(),"Y")&amp; " TAHUN"</f>
        <v>13 TAHUN</v>
      </c>
      <c r="L1560" s="24" t="s">
        <v>3775</v>
      </c>
    </row>
    <row r="1561" spans="1:12" ht="20.100000000000001" customHeight="1" x14ac:dyDescent="0.25">
      <c r="A1561" s="8">
        <f t="shared" si="24"/>
        <v>1558</v>
      </c>
      <c r="B1561" s="21" t="s">
        <v>3813</v>
      </c>
      <c r="C1561" s="21" t="s">
        <v>3818</v>
      </c>
      <c r="D1561" s="22" t="s">
        <v>3819</v>
      </c>
      <c r="E1561" s="22" t="s">
        <v>24</v>
      </c>
      <c r="F1561" s="22" t="s">
        <v>30</v>
      </c>
      <c r="G1561" s="23">
        <v>41672</v>
      </c>
      <c r="H1561" s="22" t="s">
        <v>18</v>
      </c>
      <c r="I1561" s="22" t="s">
        <v>40</v>
      </c>
      <c r="J1561" s="22" t="s">
        <v>32</v>
      </c>
      <c r="K1561" s="10" t="str">
        <f ca="1">DATEDIF('DATA PENDUDUK'!$G1561,TODAY(),"Y")&amp; " TAHUN"</f>
        <v>11 TAHUN</v>
      </c>
      <c r="L1561" s="24" t="s">
        <v>3775</v>
      </c>
    </row>
    <row r="1562" spans="1:12" ht="20.100000000000001" customHeight="1" x14ac:dyDescent="0.25">
      <c r="A1562" s="8">
        <f t="shared" si="24"/>
        <v>1559</v>
      </c>
      <c r="B1562" s="21" t="s">
        <v>3813</v>
      </c>
      <c r="C1562" s="21" t="s">
        <v>3820</v>
      </c>
      <c r="D1562" s="22" t="s">
        <v>3821</v>
      </c>
      <c r="E1562" s="22" t="s">
        <v>16</v>
      </c>
      <c r="F1562" s="22" t="s">
        <v>30</v>
      </c>
      <c r="G1562" s="23">
        <v>43027</v>
      </c>
      <c r="H1562" s="22" t="s">
        <v>18</v>
      </c>
      <c r="I1562" s="22" t="s">
        <v>40</v>
      </c>
      <c r="J1562" s="22" t="s">
        <v>32</v>
      </c>
      <c r="K1562" s="10" t="str">
        <f ca="1">DATEDIF('DATA PENDUDUK'!$G1562,TODAY(),"Y")&amp; " TAHUN"</f>
        <v>7 TAHUN</v>
      </c>
      <c r="L1562" s="24" t="s">
        <v>3775</v>
      </c>
    </row>
    <row r="1563" spans="1:12" ht="20.100000000000001" customHeight="1" x14ac:dyDescent="0.25">
      <c r="A1563" s="8">
        <f t="shared" si="24"/>
        <v>1560</v>
      </c>
      <c r="B1563" s="21" t="s">
        <v>3822</v>
      </c>
      <c r="C1563" s="21" t="s">
        <v>3823</v>
      </c>
      <c r="D1563" s="22" t="s">
        <v>3824</v>
      </c>
      <c r="E1563" s="22" t="s">
        <v>16</v>
      </c>
      <c r="F1563" s="22" t="s">
        <v>3825</v>
      </c>
      <c r="G1563" s="23">
        <v>28572</v>
      </c>
      <c r="H1563" s="22" t="s">
        <v>18</v>
      </c>
      <c r="I1563" s="22" t="s">
        <v>3026</v>
      </c>
      <c r="J1563" s="22" t="s">
        <v>20</v>
      </c>
      <c r="K1563" s="10" t="str">
        <f ca="1">DATEDIF('DATA PENDUDUK'!$G1563,TODAY(),"Y")&amp; " TAHUN"</f>
        <v>47 TAHUN</v>
      </c>
      <c r="L1563" s="24" t="s">
        <v>3775</v>
      </c>
    </row>
    <row r="1564" spans="1:12" ht="20.100000000000001" customHeight="1" x14ac:dyDescent="0.25">
      <c r="A1564" s="8">
        <f t="shared" si="24"/>
        <v>1561</v>
      </c>
      <c r="B1564" s="21" t="s">
        <v>3822</v>
      </c>
      <c r="C1564" s="21" t="s">
        <v>3826</v>
      </c>
      <c r="D1564" s="22" t="s">
        <v>3827</v>
      </c>
      <c r="E1564" s="22" t="s">
        <v>24</v>
      </c>
      <c r="F1564" s="22" t="s">
        <v>3825</v>
      </c>
      <c r="G1564" s="23">
        <v>30718</v>
      </c>
      <c r="H1564" s="22" t="s">
        <v>18</v>
      </c>
      <c r="I1564" s="22" t="s">
        <v>40</v>
      </c>
      <c r="J1564" s="22" t="s">
        <v>27</v>
      </c>
      <c r="K1564" s="10" t="str">
        <f ca="1">DATEDIF('DATA PENDUDUK'!$G1564,TODAY(),"Y")&amp; " TAHUN"</f>
        <v>41 TAHUN</v>
      </c>
      <c r="L1564" s="24" t="s">
        <v>3775</v>
      </c>
    </row>
    <row r="1565" spans="1:12" ht="20.100000000000001" customHeight="1" x14ac:dyDescent="0.25">
      <c r="A1565" s="8">
        <f t="shared" si="24"/>
        <v>1562</v>
      </c>
      <c r="B1565" s="21" t="s">
        <v>3822</v>
      </c>
      <c r="C1565" s="21" t="s">
        <v>3828</v>
      </c>
      <c r="D1565" s="22" t="s">
        <v>3829</v>
      </c>
      <c r="E1565" s="22" t="s">
        <v>24</v>
      </c>
      <c r="F1565" s="22" t="s">
        <v>30</v>
      </c>
      <c r="G1565" s="23">
        <v>38605</v>
      </c>
      <c r="H1565" s="22" t="s">
        <v>18</v>
      </c>
      <c r="I1565" s="22" t="s">
        <v>31</v>
      </c>
      <c r="J1565" s="22" t="s">
        <v>32</v>
      </c>
      <c r="K1565" s="10" t="str">
        <f ca="1">DATEDIF('DATA PENDUDUK'!$G1565,TODAY(),"Y")&amp; " TAHUN"</f>
        <v>19 TAHUN</v>
      </c>
      <c r="L1565" s="24" t="s">
        <v>3775</v>
      </c>
    </row>
    <row r="1566" spans="1:12" ht="20.100000000000001" customHeight="1" x14ac:dyDescent="0.25">
      <c r="A1566" s="8">
        <f t="shared" si="24"/>
        <v>1563</v>
      </c>
      <c r="B1566" s="21" t="s">
        <v>3822</v>
      </c>
      <c r="C1566" s="21" t="s">
        <v>3830</v>
      </c>
      <c r="D1566" s="22" t="s">
        <v>3831</v>
      </c>
      <c r="E1566" s="22" t="s">
        <v>16</v>
      </c>
      <c r="F1566" s="22" t="s">
        <v>30</v>
      </c>
      <c r="G1566" s="23">
        <v>40597</v>
      </c>
      <c r="H1566" s="22" t="s">
        <v>18</v>
      </c>
      <c r="I1566" s="22" t="s">
        <v>40</v>
      </c>
      <c r="J1566" s="22" t="s">
        <v>32</v>
      </c>
      <c r="K1566" s="10" t="str">
        <f ca="1">DATEDIF('DATA PENDUDUK'!$G1566,TODAY(),"Y")&amp; " TAHUN"</f>
        <v>14 TAHUN</v>
      </c>
      <c r="L1566" s="24" t="s">
        <v>3775</v>
      </c>
    </row>
    <row r="1567" spans="1:12" ht="20.100000000000001" customHeight="1" x14ac:dyDescent="0.25">
      <c r="A1567" s="8">
        <f t="shared" si="24"/>
        <v>1564</v>
      </c>
      <c r="B1567" s="21" t="s">
        <v>3822</v>
      </c>
      <c r="C1567" s="21" t="s">
        <v>3832</v>
      </c>
      <c r="D1567" s="22" t="s">
        <v>3833</v>
      </c>
      <c r="E1567" s="22" t="s">
        <v>24</v>
      </c>
      <c r="F1567" s="22" t="s">
        <v>30</v>
      </c>
      <c r="G1567" s="23">
        <v>41022</v>
      </c>
      <c r="H1567" s="22" t="s">
        <v>18</v>
      </c>
      <c r="I1567" s="22" t="s">
        <v>40</v>
      </c>
      <c r="J1567" s="22" t="s">
        <v>32</v>
      </c>
      <c r="K1567" s="10" t="str">
        <f ca="1">DATEDIF('DATA PENDUDUK'!$G1567,TODAY(),"Y")&amp; " TAHUN"</f>
        <v>13 TAHUN</v>
      </c>
      <c r="L1567" s="24" t="s">
        <v>3775</v>
      </c>
    </row>
    <row r="1568" spans="1:12" ht="20.100000000000001" customHeight="1" x14ac:dyDescent="0.25">
      <c r="A1568" s="8">
        <f t="shared" si="24"/>
        <v>1565</v>
      </c>
      <c r="B1568" s="21" t="s">
        <v>3834</v>
      </c>
      <c r="C1568" s="21" t="s">
        <v>3835</v>
      </c>
      <c r="D1568" s="22" t="s">
        <v>3836</v>
      </c>
      <c r="E1568" s="22" t="s">
        <v>16</v>
      </c>
      <c r="F1568" s="22" t="s">
        <v>3837</v>
      </c>
      <c r="G1568" s="23">
        <v>23076</v>
      </c>
      <c r="H1568" s="22" t="s">
        <v>3838</v>
      </c>
      <c r="I1568" s="22" t="s">
        <v>2593</v>
      </c>
      <c r="J1568" s="22" t="s">
        <v>20</v>
      </c>
      <c r="K1568" s="10" t="str">
        <f ca="1">DATEDIF('DATA PENDUDUK'!$G1568,TODAY(),"Y")&amp; " TAHUN"</f>
        <v>62 TAHUN</v>
      </c>
      <c r="L1568" s="24" t="s">
        <v>3775</v>
      </c>
    </row>
    <row r="1569" spans="1:12" ht="20.100000000000001" customHeight="1" x14ac:dyDescent="0.25">
      <c r="A1569" s="8">
        <f t="shared" si="24"/>
        <v>1566</v>
      </c>
      <c r="B1569" s="21" t="s">
        <v>3834</v>
      </c>
      <c r="C1569" s="21" t="s">
        <v>3839</v>
      </c>
      <c r="D1569" s="22" t="s">
        <v>3840</v>
      </c>
      <c r="E1569" s="22" t="s">
        <v>24</v>
      </c>
      <c r="F1569" s="22" t="s">
        <v>366</v>
      </c>
      <c r="G1569" s="23">
        <v>26921</v>
      </c>
      <c r="H1569" s="22" t="s">
        <v>18</v>
      </c>
      <c r="I1569" s="22" t="s">
        <v>2593</v>
      </c>
      <c r="J1569" s="22" t="s">
        <v>27</v>
      </c>
      <c r="K1569" s="10" t="str">
        <f ca="1">DATEDIF('DATA PENDUDUK'!$G1569,TODAY(),"Y")&amp; " TAHUN"</f>
        <v>51 TAHUN</v>
      </c>
      <c r="L1569" s="24" t="s">
        <v>3775</v>
      </c>
    </row>
    <row r="1570" spans="1:12" ht="20.100000000000001" customHeight="1" x14ac:dyDescent="0.25">
      <c r="A1570" s="8">
        <f t="shared" si="24"/>
        <v>1567</v>
      </c>
      <c r="B1570" s="21" t="s">
        <v>3834</v>
      </c>
      <c r="C1570" s="21" t="s">
        <v>3841</v>
      </c>
      <c r="D1570" s="22" t="s">
        <v>3842</v>
      </c>
      <c r="E1570" s="22" t="s">
        <v>16</v>
      </c>
      <c r="F1570" s="22" t="s">
        <v>3843</v>
      </c>
      <c r="G1570" s="23">
        <v>35487</v>
      </c>
      <c r="H1570" s="22" t="s">
        <v>18</v>
      </c>
      <c r="I1570" s="22" t="s">
        <v>40</v>
      </c>
      <c r="J1570" s="22" t="s">
        <v>32</v>
      </c>
      <c r="K1570" s="10" t="str">
        <f ca="1">DATEDIF('DATA PENDUDUK'!$G1570,TODAY(),"Y")&amp; " TAHUN"</f>
        <v>28 TAHUN</v>
      </c>
      <c r="L1570" s="24" t="s">
        <v>3775</v>
      </c>
    </row>
    <row r="1571" spans="1:12" ht="20.100000000000001" customHeight="1" x14ac:dyDescent="0.25">
      <c r="A1571" s="8">
        <f t="shared" si="24"/>
        <v>1568</v>
      </c>
      <c r="B1571" s="21" t="s">
        <v>3834</v>
      </c>
      <c r="C1571" s="21" t="s">
        <v>3588</v>
      </c>
      <c r="D1571" s="22" t="s">
        <v>3589</v>
      </c>
      <c r="E1571" s="22" t="s">
        <v>24</v>
      </c>
      <c r="F1571" s="22" t="s">
        <v>376</v>
      </c>
      <c r="G1571" s="23">
        <v>36037</v>
      </c>
      <c r="H1571" s="22" t="s">
        <v>18</v>
      </c>
      <c r="I1571" s="22" t="s">
        <v>40</v>
      </c>
      <c r="J1571" s="22" t="s">
        <v>32</v>
      </c>
      <c r="K1571" s="10" t="str">
        <f ca="1">DATEDIF('DATA PENDUDUK'!$G1571,TODAY(),"Y")&amp; " TAHUN"</f>
        <v>26 TAHUN</v>
      </c>
      <c r="L1571" s="24" t="s">
        <v>3775</v>
      </c>
    </row>
    <row r="1572" spans="1:12" ht="20.100000000000001" customHeight="1" x14ac:dyDescent="0.25">
      <c r="A1572" s="8">
        <f t="shared" si="24"/>
        <v>1569</v>
      </c>
      <c r="B1572" s="21" t="s">
        <v>3834</v>
      </c>
      <c r="C1572" s="21" t="s">
        <v>3844</v>
      </c>
      <c r="D1572" s="22" t="s">
        <v>3845</v>
      </c>
      <c r="E1572" s="22" t="s">
        <v>24</v>
      </c>
      <c r="F1572" s="22" t="s">
        <v>376</v>
      </c>
      <c r="G1572" s="23">
        <v>37505</v>
      </c>
      <c r="H1572" s="22" t="s">
        <v>18</v>
      </c>
      <c r="I1572" s="22" t="s">
        <v>40</v>
      </c>
      <c r="J1572" s="22" t="s">
        <v>32</v>
      </c>
      <c r="K1572" s="10" t="str">
        <f ca="1">DATEDIF('DATA PENDUDUK'!$G1572,TODAY(),"Y")&amp; " TAHUN"</f>
        <v>22 TAHUN</v>
      </c>
      <c r="L1572" s="24" t="s">
        <v>3775</v>
      </c>
    </row>
    <row r="1573" spans="1:12" ht="20.100000000000001" customHeight="1" x14ac:dyDescent="0.25">
      <c r="A1573" s="8">
        <f t="shared" si="24"/>
        <v>1570</v>
      </c>
      <c r="B1573" s="21" t="s">
        <v>3834</v>
      </c>
      <c r="C1573" s="21" t="s">
        <v>3846</v>
      </c>
      <c r="D1573" s="22" t="s">
        <v>3847</v>
      </c>
      <c r="E1573" s="22" t="s">
        <v>16</v>
      </c>
      <c r="F1573" s="22" t="s">
        <v>376</v>
      </c>
      <c r="G1573" s="23">
        <v>38412</v>
      </c>
      <c r="H1573" s="22" t="s">
        <v>18</v>
      </c>
      <c r="I1573" s="22" t="s">
        <v>40</v>
      </c>
      <c r="J1573" s="22" t="s">
        <v>32</v>
      </c>
      <c r="K1573" s="10" t="str">
        <f ca="1">DATEDIF('DATA PENDUDUK'!$G1573,TODAY(),"Y")&amp; " TAHUN"</f>
        <v>20 TAHUN</v>
      </c>
      <c r="L1573" s="24" t="s">
        <v>3775</v>
      </c>
    </row>
    <row r="1574" spans="1:12" ht="20.100000000000001" customHeight="1" x14ac:dyDescent="0.25">
      <c r="A1574" s="8">
        <f t="shared" si="24"/>
        <v>1571</v>
      </c>
      <c r="B1574" s="21" t="s">
        <v>3834</v>
      </c>
      <c r="C1574" s="21" t="s">
        <v>3848</v>
      </c>
      <c r="D1574" s="22" t="s">
        <v>3849</v>
      </c>
      <c r="E1574" s="22" t="s">
        <v>24</v>
      </c>
      <c r="F1574" s="22" t="s">
        <v>376</v>
      </c>
      <c r="G1574" s="23">
        <v>39605</v>
      </c>
      <c r="H1574" s="22" t="s">
        <v>18</v>
      </c>
      <c r="I1574" s="22" t="s">
        <v>40</v>
      </c>
      <c r="J1574" s="22" t="s">
        <v>32</v>
      </c>
      <c r="K1574" s="10" t="str">
        <f ca="1">DATEDIF('DATA PENDUDUK'!$G1574,TODAY(),"Y")&amp; " TAHUN"</f>
        <v>17 TAHUN</v>
      </c>
      <c r="L1574" s="24" t="s">
        <v>3775</v>
      </c>
    </row>
    <row r="1575" spans="1:12" ht="20.100000000000001" customHeight="1" x14ac:dyDescent="0.25">
      <c r="A1575" s="8">
        <f t="shared" si="24"/>
        <v>1572</v>
      </c>
      <c r="B1575" s="21" t="s">
        <v>3834</v>
      </c>
      <c r="C1575" s="21" t="s">
        <v>3850</v>
      </c>
      <c r="D1575" s="22" t="s">
        <v>3851</v>
      </c>
      <c r="E1575" s="22" t="s">
        <v>16</v>
      </c>
      <c r="F1575" s="22" t="s">
        <v>30</v>
      </c>
      <c r="G1575" s="23">
        <v>40526</v>
      </c>
      <c r="H1575" s="22" t="s">
        <v>18</v>
      </c>
      <c r="I1575" s="22" t="s">
        <v>40</v>
      </c>
      <c r="J1575" s="22" t="s">
        <v>32</v>
      </c>
      <c r="K1575" s="10" t="str">
        <f ca="1">DATEDIF('DATA PENDUDUK'!$G1575,TODAY(),"Y")&amp; " TAHUN"</f>
        <v>14 TAHUN</v>
      </c>
      <c r="L1575" s="24" t="s">
        <v>3775</v>
      </c>
    </row>
    <row r="1576" spans="1:12" ht="20.100000000000001" customHeight="1" x14ac:dyDescent="0.25">
      <c r="A1576" s="8">
        <f t="shared" si="24"/>
        <v>1573</v>
      </c>
      <c r="B1576" s="21" t="s">
        <v>3834</v>
      </c>
      <c r="C1576" s="21" t="s">
        <v>3852</v>
      </c>
      <c r="D1576" s="22" t="s">
        <v>3853</v>
      </c>
      <c r="E1576" s="22" t="s">
        <v>16</v>
      </c>
      <c r="F1576" s="22" t="s">
        <v>30</v>
      </c>
      <c r="G1576" s="23">
        <v>42421</v>
      </c>
      <c r="H1576" s="22" t="s">
        <v>18</v>
      </c>
      <c r="I1576" s="22" t="s">
        <v>40</v>
      </c>
      <c r="J1576" s="22" t="s">
        <v>32</v>
      </c>
      <c r="K1576" s="10" t="str">
        <f ca="1">DATEDIF('DATA PENDUDUK'!$G1576,TODAY(),"Y")&amp; " TAHUN"</f>
        <v>9 TAHUN</v>
      </c>
      <c r="L1576" s="24" t="s">
        <v>3775</v>
      </c>
    </row>
    <row r="1577" spans="1:12" ht="20.100000000000001" customHeight="1" x14ac:dyDescent="0.25">
      <c r="A1577" s="8">
        <f t="shared" si="24"/>
        <v>1574</v>
      </c>
      <c r="B1577" s="21" t="s">
        <v>3834</v>
      </c>
      <c r="C1577" s="21" t="s">
        <v>3854</v>
      </c>
      <c r="D1577" s="22" t="s">
        <v>3855</v>
      </c>
      <c r="E1577" s="22" t="s">
        <v>16</v>
      </c>
      <c r="F1577" s="22" t="s">
        <v>30</v>
      </c>
      <c r="G1577" s="23">
        <v>43256</v>
      </c>
      <c r="H1577" s="22" t="s">
        <v>3838</v>
      </c>
      <c r="I1577" s="22" t="s">
        <v>40</v>
      </c>
      <c r="J1577" s="22" t="s">
        <v>32</v>
      </c>
      <c r="K1577" s="10" t="str">
        <f ca="1">DATEDIF('DATA PENDUDUK'!$G1577,TODAY(),"Y")&amp; " TAHUN"</f>
        <v>7 TAHUN</v>
      </c>
      <c r="L1577" s="24" t="s">
        <v>3775</v>
      </c>
    </row>
    <row r="1578" spans="1:12" ht="20.100000000000001" customHeight="1" x14ac:dyDescent="0.25">
      <c r="A1578" s="8">
        <f t="shared" si="24"/>
        <v>1575</v>
      </c>
      <c r="B1578" s="21" t="s">
        <v>3856</v>
      </c>
      <c r="C1578" s="21" t="s">
        <v>3857</v>
      </c>
      <c r="D1578" s="22" t="s">
        <v>3858</v>
      </c>
      <c r="E1578" s="22" t="s">
        <v>16</v>
      </c>
      <c r="F1578" s="22" t="s">
        <v>366</v>
      </c>
      <c r="G1578" s="23">
        <v>27928</v>
      </c>
      <c r="H1578" s="22" t="s">
        <v>18</v>
      </c>
      <c r="I1578" s="22" t="s">
        <v>40</v>
      </c>
      <c r="J1578" s="22" t="s">
        <v>20</v>
      </c>
      <c r="K1578" s="10" t="str">
        <f ca="1">DATEDIF('DATA PENDUDUK'!$G1578,TODAY(),"Y")&amp; " TAHUN"</f>
        <v>49 TAHUN</v>
      </c>
      <c r="L1578" s="24" t="s">
        <v>3775</v>
      </c>
    </row>
    <row r="1579" spans="1:12" ht="20.100000000000001" customHeight="1" x14ac:dyDescent="0.25">
      <c r="A1579" s="8">
        <f t="shared" si="24"/>
        <v>1576</v>
      </c>
      <c r="B1579" s="21" t="s">
        <v>3856</v>
      </c>
      <c r="C1579" s="21" t="s">
        <v>3859</v>
      </c>
      <c r="D1579" s="22" t="s">
        <v>3860</v>
      </c>
      <c r="E1579" s="22" t="s">
        <v>24</v>
      </c>
      <c r="F1579" s="22" t="s">
        <v>3861</v>
      </c>
      <c r="G1579" s="23">
        <v>25392</v>
      </c>
      <c r="H1579" s="22" t="s">
        <v>438</v>
      </c>
      <c r="I1579" s="22" t="s">
        <v>40</v>
      </c>
      <c r="J1579" s="22" t="s">
        <v>27</v>
      </c>
      <c r="K1579" s="10" t="str">
        <f ca="1">DATEDIF('DATA PENDUDUK'!$G1579,TODAY(),"Y")&amp; " TAHUN"</f>
        <v>56 TAHUN</v>
      </c>
      <c r="L1579" s="24" t="s">
        <v>3775</v>
      </c>
    </row>
    <row r="1580" spans="1:12" ht="20.100000000000001" customHeight="1" x14ac:dyDescent="0.25">
      <c r="A1580" s="8">
        <f t="shared" si="24"/>
        <v>1577</v>
      </c>
      <c r="B1580" s="21" t="s">
        <v>3856</v>
      </c>
      <c r="C1580" s="21" t="s">
        <v>3862</v>
      </c>
      <c r="D1580" s="22" t="s">
        <v>3863</v>
      </c>
      <c r="E1580" s="22" t="s">
        <v>16</v>
      </c>
      <c r="F1580" s="22" t="s">
        <v>30</v>
      </c>
      <c r="G1580" s="23">
        <v>33685</v>
      </c>
      <c r="H1580" s="22" t="s">
        <v>18</v>
      </c>
      <c r="I1580" s="22" t="s">
        <v>31</v>
      </c>
      <c r="J1580" s="22" t="s">
        <v>32</v>
      </c>
      <c r="K1580" s="10" t="str">
        <f ca="1">DATEDIF('DATA PENDUDUK'!$G1580,TODAY(),"Y")&amp; " TAHUN"</f>
        <v>33 TAHUN</v>
      </c>
      <c r="L1580" s="24" t="s">
        <v>3775</v>
      </c>
    </row>
    <row r="1581" spans="1:12" ht="20.100000000000001" customHeight="1" x14ac:dyDescent="0.25">
      <c r="A1581" s="8">
        <f t="shared" si="24"/>
        <v>1578</v>
      </c>
      <c r="B1581" s="21" t="s">
        <v>3856</v>
      </c>
      <c r="C1581" s="21" t="s">
        <v>3864</v>
      </c>
      <c r="D1581" s="22" t="s">
        <v>3865</v>
      </c>
      <c r="E1581" s="22" t="s">
        <v>24</v>
      </c>
      <c r="F1581" s="22" t="s">
        <v>30</v>
      </c>
      <c r="G1581" s="23">
        <v>37016</v>
      </c>
      <c r="H1581" s="22" t="s">
        <v>18</v>
      </c>
      <c r="I1581" s="22" t="s">
        <v>40</v>
      </c>
      <c r="J1581" s="22" t="s">
        <v>32</v>
      </c>
      <c r="K1581" s="10" t="str">
        <f ca="1">DATEDIF('DATA PENDUDUK'!$G1581,TODAY(),"Y")&amp; " TAHUN"</f>
        <v>24 TAHUN</v>
      </c>
      <c r="L1581" s="24" t="s">
        <v>3775</v>
      </c>
    </row>
    <row r="1582" spans="1:12" ht="20.100000000000001" customHeight="1" x14ac:dyDescent="0.25">
      <c r="A1582" s="8">
        <f t="shared" si="24"/>
        <v>1579</v>
      </c>
      <c r="B1582" s="21" t="s">
        <v>3856</v>
      </c>
      <c r="C1582" s="21" t="s">
        <v>3866</v>
      </c>
      <c r="D1582" s="22" t="s">
        <v>3867</v>
      </c>
      <c r="E1582" s="22" t="s">
        <v>24</v>
      </c>
      <c r="F1582" s="22" t="s">
        <v>30</v>
      </c>
      <c r="G1582" s="23">
        <v>37709</v>
      </c>
      <c r="H1582" s="22" t="s">
        <v>18</v>
      </c>
      <c r="I1582" s="22" t="s">
        <v>40</v>
      </c>
      <c r="J1582" s="22" t="s">
        <v>32</v>
      </c>
      <c r="K1582" s="10" t="str">
        <f ca="1">DATEDIF('DATA PENDUDUK'!$G1582,TODAY(),"Y")&amp; " TAHUN"</f>
        <v>22 TAHUN</v>
      </c>
      <c r="L1582" s="24" t="s">
        <v>3775</v>
      </c>
    </row>
    <row r="1583" spans="1:12" ht="20.100000000000001" customHeight="1" x14ac:dyDescent="0.25">
      <c r="A1583" s="8">
        <f t="shared" si="24"/>
        <v>1580</v>
      </c>
      <c r="B1583" s="21" t="s">
        <v>3868</v>
      </c>
      <c r="C1583" s="21" t="s">
        <v>3869</v>
      </c>
      <c r="D1583" s="22" t="s">
        <v>3870</v>
      </c>
      <c r="E1583" s="22" t="s">
        <v>16</v>
      </c>
      <c r="F1583" s="22" t="s">
        <v>158</v>
      </c>
      <c r="G1583" s="23">
        <v>33701</v>
      </c>
      <c r="H1583" s="22" t="s">
        <v>438</v>
      </c>
      <c r="I1583" s="22" t="s">
        <v>40</v>
      </c>
      <c r="J1583" s="22" t="s">
        <v>20</v>
      </c>
      <c r="K1583" s="10" t="str">
        <f ca="1">DATEDIF('DATA PENDUDUK'!$G1583,TODAY(),"Y")&amp; " TAHUN"</f>
        <v>33 TAHUN</v>
      </c>
      <c r="L1583" s="24" t="s">
        <v>3775</v>
      </c>
    </row>
    <row r="1584" spans="1:12" ht="20.100000000000001" customHeight="1" x14ac:dyDescent="0.25">
      <c r="A1584" s="8">
        <f t="shared" si="24"/>
        <v>1581</v>
      </c>
      <c r="B1584" s="21" t="s">
        <v>3868</v>
      </c>
      <c r="C1584" s="21" t="s">
        <v>3871</v>
      </c>
      <c r="D1584" s="22" t="s">
        <v>3872</v>
      </c>
      <c r="E1584" s="22" t="s">
        <v>24</v>
      </c>
      <c r="F1584" s="22" t="s">
        <v>3873</v>
      </c>
      <c r="G1584" s="23">
        <v>33359</v>
      </c>
      <c r="H1584" s="22" t="s">
        <v>18</v>
      </c>
      <c r="I1584" s="22" t="s">
        <v>2598</v>
      </c>
      <c r="J1584" s="22" t="s">
        <v>27</v>
      </c>
      <c r="K1584" s="10" t="str">
        <f ca="1">DATEDIF('DATA PENDUDUK'!$G1584,TODAY(),"Y")&amp; " TAHUN"</f>
        <v>34 TAHUN</v>
      </c>
      <c r="L1584" s="24" t="s">
        <v>3775</v>
      </c>
    </row>
    <row r="1585" spans="1:12" ht="20.100000000000001" customHeight="1" x14ac:dyDescent="0.25">
      <c r="A1585" s="8">
        <f t="shared" si="24"/>
        <v>1582</v>
      </c>
      <c r="B1585" s="21" t="s">
        <v>3868</v>
      </c>
      <c r="C1585" s="21" t="s">
        <v>3874</v>
      </c>
      <c r="D1585" s="22" t="s">
        <v>3875</v>
      </c>
      <c r="E1585" s="22" t="s">
        <v>16</v>
      </c>
      <c r="F1585" s="22" t="s">
        <v>158</v>
      </c>
      <c r="G1585" s="23">
        <v>41460</v>
      </c>
      <c r="H1585" s="22" t="s">
        <v>438</v>
      </c>
      <c r="I1585" s="22" t="s">
        <v>40</v>
      </c>
      <c r="J1585" s="22" t="s">
        <v>32</v>
      </c>
      <c r="K1585" s="10" t="str">
        <f ca="1">DATEDIF('DATA PENDUDUK'!$G1585,TODAY(),"Y")&amp; " TAHUN"</f>
        <v>12 TAHUN</v>
      </c>
      <c r="L1585" s="24" t="s">
        <v>3775</v>
      </c>
    </row>
    <row r="1586" spans="1:12" ht="20.100000000000001" customHeight="1" x14ac:dyDescent="0.25">
      <c r="A1586" s="8">
        <f t="shared" si="24"/>
        <v>1583</v>
      </c>
      <c r="B1586" s="21" t="s">
        <v>3868</v>
      </c>
      <c r="C1586" s="21" t="s">
        <v>3876</v>
      </c>
      <c r="D1586" s="22" t="s">
        <v>3877</v>
      </c>
      <c r="E1586" s="22" t="s">
        <v>16</v>
      </c>
      <c r="F1586" s="22" t="s">
        <v>30</v>
      </c>
      <c r="G1586" s="23">
        <v>42088</v>
      </c>
      <c r="H1586" s="22" t="s">
        <v>438</v>
      </c>
      <c r="I1586" s="22" t="s">
        <v>40</v>
      </c>
      <c r="J1586" s="22" t="s">
        <v>32</v>
      </c>
      <c r="K1586" s="10" t="str">
        <f ca="1">DATEDIF('DATA PENDUDUK'!$G1586,TODAY(),"Y")&amp; " TAHUN"</f>
        <v>10 TAHUN</v>
      </c>
      <c r="L1586" s="24" t="s">
        <v>3775</v>
      </c>
    </row>
    <row r="1587" spans="1:12" ht="20.100000000000001" customHeight="1" x14ac:dyDescent="0.25">
      <c r="A1587" s="8">
        <f t="shared" si="24"/>
        <v>1584</v>
      </c>
      <c r="B1587" s="21" t="s">
        <v>3868</v>
      </c>
      <c r="C1587" s="21" t="s">
        <v>3878</v>
      </c>
      <c r="D1587" s="22" t="s">
        <v>3879</v>
      </c>
      <c r="E1587" s="22" t="s">
        <v>24</v>
      </c>
      <c r="F1587" s="22" t="s">
        <v>30</v>
      </c>
      <c r="G1587" s="23">
        <v>42424</v>
      </c>
      <c r="H1587" s="22" t="s">
        <v>438</v>
      </c>
      <c r="I1587" s="22" t="s">
        <v>40</v>
      </c>
      <c r="J1587" s="22" t="s">
        <v>32</v>
      </c>
      <c r="K1587" s="10" t="str">
        <f ca="1">DATEDIF('DATA PENDUDUK'!$G1587,TODAY(),"Y")&amp; " TAHUN"</f>
        <v>9 TAHUN</v>
      </c>
      <c r="L1587" s="24" t="s">
        <v>3775</v>
      </c>
    </row>
    <row r="1588" spans="1:12" ht="20.100000000000001" customHeight="1" x14ac:dyDescent="0.25">
      <c r="A1588" s="8">
        <f t="shared" si="24"/>
        <v>1585</v>
      </c>
      <c r="B1588" s="21" t="s">
        <v>3868</v>
      </c>
      <c r="C1588" s="21" t="s">
        <v>3880</v>
      </c>
      <c r="D1588" s="22" t="s">
        <v>3881</v>
      </c>
      <c r="E1588" s="22" t="s">
        <v>16</v>
      </c>
      <c r="F1588" s="22" t="s">
        <v>30</v>
      </c>
      <c r="G1588" s="23">
        <v>43758</v>
      </c>
      <c r="H1588" s="22" t="s">
        <v>438</v>
      </c>
      <c r="I1588" s="22" t="s">
        <v>40</v>
      </c>
      <c r="J1588" s="22" t="s">
        <v>32</v>
      </c>
      <c r="K1588" s="10" t="str">
        <f ca="1">DATEDIF('DATA PENDUDUK'!$G1588,TODAY(),"Y")&amp; " TAHUN"</f>
        <v>5 TAHUN</v>
      </c>
      <c r="L1588" s="24" t="s">
        <v>3775</v>
      </c>
    </row>
    <row r="1589" spans="1:12" ht="20.100000000000001" customHeight="1" x14ac:dyDescent="0.25">
      <c r="A1589" s="8">
        <f t="shared" si="24"/>
        <v>1586</v>
      </c>
      <c r="B1589" s="21" t="s">
        <v>3882</v>
      </c>
      <c r="C1589" s="21" t="s">
        <v>3841</v>
      </c>
      <c r="D1589" s="22" t="s">
        <v>3842</v>
      </c>
      <c r="E1589" s="22" t="s">
        <v>16</v>
      </c>
      <c r="F1589" s="22" t="s">
        <v>3843</v>
      </c>
      <c r="G1589" s="23">
        <v>35487</v>
      </c>
      <c r="H1589" s="22" t="s">
        <v>18</v>
      </c>
      <c r="I1589" s="22" t="s">
        <v>40</v>
      </c>
      <c r="J1589" s="22" t="s">
        <v>20</v>
      </c>
      <c r="K1589" s="10" t="str">
        <f ca="1">DATEDIF('DATA PENDUDUK'!$G1589,TODAY(),"Y")&amp; " TAHUN"</f>
        <v>28 TAHUN</v>
      </c>
      <c r="L1589" s="24" t="s">
        <v>3775</v>
      </c>
    </row>
    <row r="1590" spans="1:12" ht="20.100000000000001" customHeight="1" x14ac:dyDescent="0.25">
      <c r="A1590" s="8">
        <f t="shared" si="24"/>
        <v>1587</v>
      </c>
      <c r="B1590" s="21" t="s">
        <v>3882</v>
      </c>
      <c r="C1590" s="21" t="s">
        <v>3883</v>
      </c>
      <c r="D1590" s="22" t="s">
        <v>3884</v>
      </c>
      <c r="E1590" s="22" t="s">
        <v>24</v>
      </c>
      <c r="F1590" s="22" t="s">
        <v>30</v>
      </c>
      <c r="G1590" s="23">
        <v>38758</v>
      </c>
      <c r="H1590" s="22" t="s">
        <v>18</v>
      </c>
      <c r="I1590" s="22" t="s">
        <v>40</v>
      </c>
      <c r="J1590" s="22" t="s">
        <v>3885</v>
      </c>
      <c r="K1590" s="10" t="str">
        <f ca="1">DATEDIF('DATA PENDUDUK'!$G1590,TODAY(),"Y")&amp; " TAHUN"</f>
        <v>19 TAHUN</v>
      </c>
      <c r="L1590" s="24" t="s">
        <v>3775</v>
      </c>
    </row>
    <row r="1591" spans="1:12" ht="20.100000000000001" customHeight="1" x14ac:dyDescent="0.25">
      <c r="A1591" s="8">
        <f t="shared" si="24"/>
        <v>1588</v>
      </c>
      <c r="B1591" s="21" t="s">
        <v>3886</v>
      </c>
      <c r="C1591" s="21" t="s">
        <v>3887</v>
      </c>
      <c r="D1591" s="22" t="s">
        <v>3888</v>
      </c>
      <c r="E1591" s="22" t="s">
        <v>16</v>
      </c>
      <c r="F1591" s="22" t="s">
        <v>30</v>
      </c>
      <c r="G1591" s="23">
        <v>29502</v>
      </c>
      <c r="H1591" s="22" t="s">
        <v>438</v>
      </c>
      <c r="I1591" s="22" t="s">
        <v>40</v>
      </c>
      <c r="J1591" s="22" t="s">
        <v>20</v>
      </c>
      <c r="K1591" s="10" t="str">
        <f ca="1">DATEDIF('DATA PENDUDUK'!$G1591,TODAY(),"Y")&amp; " TAHUN"</f>
        <v>44 TAHUN</v>
      </c>
      <c r="L1591" s="24" t="s">
        <v>3775</v>
      </c>
    </row>
    <row r="1592" spans="1:12" ht="20.100000000000001" customHeight="1" x14ac:dyDescent="0.25">
      <c r="A1592" s="8">
        <f t="shared" si="24"/>
        <v>1589</v>
      </c>
      <c r="B1592" s="21" t="s">
        <v>3886</v>
      </c>
      <c r="C1592" s="21" t="s">
        <v>3889</v>
      </c>
      <c r="D1592" s="22" t="s">
        <v>3890</v>
      </c>
      <c r="E1592" s="22" t="s">
        <v>24</v>
      </c>
      <c r="F1592" s="22" t="s">
        <v>869</v>
      </c>
      <c r="G1592" s="23">
        <v>31596</v>
      </c>
      <c r="H1592" s="22" t="s">
        <v>438</v>
      </c>
      <c r="I1592" s="22" t="s">
        <v>2598</v>
      </c>
      <c r="J1592" s="22" t="s">
        <v>27</v>
      </c>
      <c r="K1592" s="10" t="str">
        <f ca="1">DATEDIF('DATA PENDUDUK'!$G1592,TODAY(),"Y")&amp; " TAHUN"</f>
        <v>39 TAHUN</v>
      </c>
      <c r="L1592" s="24" t="s">
        <v>3775</v>
      </c>
    </row>
    <row r="1593" spans="1:12" ht="20.100000000000001" customHeight="1" x14ac:dyDescent="0.25">
      <c r="A1593" s="8">
        <f t="shared" si="24"/>
        <v>1590</v>
      </c>
      <c r="B1593" s="21" t="s">
        <v>3886</v>
      </c>
      <c r="C1593" s="21" t="s">
        <v>3891</v>
      </c>
      <c r="D1593" s="22" t="s">
        <v>3892</v>
      </c>
      <c r="E1593" s="22" t="s">
        <v>16</v>
      </c>
      <c r="F1593" s="22" t="s">
        <v>30</v>
      </c>
      <c r="G1593" s="23">
        <v>37744</v>
      </c>
      <c r="H1593" s="22" t="s">
        <v>438</v>
      </c>
      <c r="I1593" s="22" t="s">
        <v>31</v>
      </c>
      <c r="J1593" s="22" t="s">
        <v>32</v>
      </c>
      <c r="K1593" s="10" t="str">
        <f ca="1">DATEDIF('DATA PENDUDUK'!$G1593,TODAY(),"Y")&amp; " TAHUN"</f>
        <v>22 TAHUN</v>
      </c>
      <c r="L1593" s="24" t="s">
        <v>3775</v>
      </c>
    </row>
    <row r="1594" spans="1:12" ht="20.100000000000001" customHeight="1" x14ac:dyDescent="0.25">
      <c r="A1594" s="8">
        <f t="shared" si="24"/>
        <v>1591</v>
      </c>
      <c r="B1594" s="21" t="s">
        <v>3886</v>
      </c>
      <c r="C1594" s="21" t="s">
        <v>3893</v>
      </c>
      <c r="D1594" s="22" t="s">
        <v>3894</v>
      </c>
      <c r="E1594" s="22" t="s">
        <v>24</v>
      </c>
      <c r="F1594" s="22" t="s">
        <v>30</v>
      </c>
      <c r="G1594" s="23">
        <v>40397</v>
      </c>
      <c r="H1594" s="22" t="s">
        <v>438</v>
      </c>
      <c r="I1594" s="22" t="s">
        <v>31</v>
      </c>
      <c r="J1594" s="22" t="s">
        <v>32</v>
      </c>
      <c r="K1594" s="10" t="str">
        <f ca="1">DATEDIF('DATA PENDUDUK'!$G1594,TODAY(),"Y")&amp; " TAHUN"</f>
        <v>14 TAHUN</v>
      </c>
      <c r="L1594" s="24" t="s">
        <v>3775</v>
      </c>
    </row>
    <row r="1595" spans="1:12" ht="20.100000000000001" customHeight="1" x14ac:dyDescent="0.25">
      <c r="A1595" s="8">
        <f t="shared" si="24"/>
        <v>1592</v>
      </c>
      <c r="B1595" s="21" t="s">
        <v>3886</v>
      </c>
      <c r="C1595" s="21" t="s">
        <v>3895</v>
      </c>
      <c r="D1595" s="22" t="s">
        <v>3896</v>
      </c>
      <c r="E1595" s="22" t="s">
        <v>16</v>
      </c>
      <c r="F1595" s="22" t="s">
        <v>30</v>
      </c>
      <c r="G1595" s="23">
        <v>43456</v>
      </c>
      <c r="H1595" s="22" t="s">
        <v>438</v>
      </c>
      <c r="I1595" s="22" t="s">
        <v>40</v>
      </c>
      <c r="J1595" s="22" t="s">
        <v>32</v>
      </c>
      <c r="K1595" s="10" t="str">
        <f ca="1">DATEDIF('DATA PENDUDUK'!$G1595,TODAY(),"Y")&amp; " TAHUN"</f>
        <v>6 TAHUN</v>
      </c>
      <c r="L1595" s="24" t="s">
        <v>3775</v>
      </c>
    </row>
    <row r="1596" spans="1:12" ht="20.100000000000001" customHeight="1" x14ac:dyDescent="0.25">
      <c r="A1596" s="8">
        <f t="shared" si="24"/>
        <v>1593</v>
      </c>
      <c r="B1596" s="21" t="s">
        <v>3886</v>
      </c>
      <c r="C1596" s="21" t="s">
        <v>2800</v>
      </c>
      <c r="D1596" s="22" t="s">
        <v>2021</v>
      </c>
      <c r="E1596" s="22" t="s">
        <v>16</v>
      </c>
      <c r="F1596" s="22" t="s">
        <v>3897</v>
      </c>
      <c r="G1596" s="23">
        <v>37129</v>
      </c>
      <c r="H1596" s="22" t="s">
        <v>438</v>
      </c>
      <c r="I1596" s="22" t="s">
        <v>31</v>
      </c>
      <c r="J1596" s="22" t="s">
        <v>3885</v>
      </c>
      <c r="K1596" s="10" t="str">
        <f ca="1">DATEDIF('DATA PENDUDUK'!$G1596,TODAY(),"Y")&amp; " TAHUN"</f>
        <v>23 TAHUN</v>
      </c>
      <c r="L1596" s="24" t="s">
        <v>3775</v>
      </c>
    </row>
    <row r="1597" spans="1:12" ht="20.100000000000001" customHeight="1" x14ac:dyDescent="0.25">
      <c r="A1597" s="8">
        <f t="shared" si="24"/>
        <v>1594</v>
      </c>
      <c r="B1597" s="21" t="s">
        <v>3898</v>
      </c>
      <c r="C1597" s="21" t="s">
        <v>3899</v>
      </c>
      <c r="D1597" s="22" t="s">
        <v>3900</v>
      </c>
      <c r="E1597" s="22" t="s">
        <v>24</v>
      </c>
      <c r="F1597" s="22" t="s">
        <v>30</v>
      </c>
      <c r="G1597" s="23">
        <v>37805</v>
      </c>
      <c r="H1597" s="22" t="s">
        <v>438</v>
      </c>
      <c r="I1597" s="22" t="s">
        <v>31</v>
      </c>
      <c r="J1597" s="22" t="s">
        <v>20</v>
      </c>
      <c r="K1597" s="10" t="str">
        <f ca="1">DATEDIF('DATA PENDUDUK'!$G1597,TODAY(),"Y")&amp; " TAHUN"</f>
        <v>22 TAHUN</v>
      </c>
      <c r="L1597" s="24" t="s">
        <v>3775</v>
      </c>
    </row>
    <row r="1598" spans="1:12" ht="20.100000000000001" customHeight="1" x14ac:dyDescent="0.25">
      <c r="A1598" s="8">
        <f t="shared" si="24"/>
        <v>1595</v>
      </c>
      <c r="B1598" s="21" t="s">
        <v>3898</v>
      </c>
      <c r="C1598" s="21" t="s">
        <v>3901</v>
      </c>
      <c r="D1598" s="22" t="s">
        <v>3902</v>
      </c>
      <c r="E1598" s="22" t="s">
        <v>24</v>
      </c>
      <c r="F1598" s="22" t="s">
        <v>30</v>
      </c>
      <c r="G1598" s="23">
        <v>44360</v>
      </c>
      <c r="H1598" s="22" t="s">
        <v>438</v>
      </c>
      <c r="I1598" s="22" t="s">
        <v>40</v>
      </c>
      <c r="J1598" s="22" t="s">
        <v>32</v>
      </c>
      <c r="K1598" s="10" t="str">
        <f ca="1">DATEDIF('DATA PENDUDUK'!$G1598,TODAY(),"Y")&amp; " TAHUN"</f>
        <v>4 TAHUN</v>
      </c>
      <c r="L1598" s="24" t="s">
        <v>3775</v>
      </c>
    </row>
    <row r="1599" spans="1:12" ht="20.100000000000001" customHeight="1" x14ac:dyDescent="0.25">
      <c r="A1599" s="8">
        <f t="shared" si="24"/>
        <v>1596</v>
      </c>
      <c r="B1599" s="21" t="s">
        <v>3898</v>
      </c>
      <c r="C1599" s="21" t="s">
        <v>3903</v>
      </c>
      <c r="D1599" s="22" t="s">
        <v>3904</v>
      </c>
      <c r="E1599" s="22" t="s">
        <v>16</v>
      </c>
      <c r="F1599" s="22" t="s">
        <v>30</v>
      </c>
      <c r="G1599" s="23">
        <v>45242</v>
      </c>
      <c r="H1599" s="22" t="s">
        <v>438</v>
      </c>
      <c r="I1599" s="22" t="s">
        <v>40</v>
      </c>
      <c r="J1599" s="22" t="s">
        <v>32</v>
      </c>
      <c r="K1599" s="10" t="str">
        <f ca="1">DATEDIF('DATA PENDUDUK'!$G1599,TODAY(),"Y")&amp; " TAHUN"</f>
        <v>1 TAHUN</v>
      </c>
      <c r="L1599" s="24" t="s">
        <v>3775</v>
      </c>
    </row>
    <row r="1600" spans="1:12" ht="20.100000000000001" customHeight="1" x14ac:dyDescent="0.25">
      <c r="A1600" s="8">
        <f t="shared" si="24"/>
        <v>1597</v>
      </c>
      <c r="B1600" s="21" t="s">
        <v>3905</v>
      </c>
      <c r="C1600" s="21" t="s">
        <v>3906</v>
      </c>
      <c r="D1600" s="22" t="s">
        <v>3907</v>
      </c>
      <c r="E1600" s="22" t="s">
        <v>16</v>
      </c>
      <c r="F1600" s="22" t="s">
        <v>746</v>
      </c>
      <c r="G1600" s="23">
        <v>24901</v>
      </c>
      <c r="H1600" s="22" t="s">
        <v>438</v>
      </c>
      <c r="I1600" s="22" t="s">
        <v>2762</v>
      </c>
      <c r="J1600" s="22" t="s">
        <v>20</v>
      </c>
      <c r="K1600" s="10" t="str">
        <f ca="1">DATEDIF('DATA PENDUDUK'!$G1600,TODAY(),"Y")&amp; " TAHUN"</f>
        <v>57 TAHUN</v>
      </c>
      <c r="L1600" s="24" t="s">
        <v>3775</v>
      </c>
    </row>
    <row r="1601" spans="1:12" ht="20.100000000000001" customHeight="1" x14ac:dyDescent="0.25">
      <c r="A1601" s="8">
        <f t="shared" si="24"/>
        <v>1598</v>
      </c>
      <c r="B1601" s="21" t="s">
        <v>3905</v>
      </c>
      <c r="C1601" s="21" t="s">
        <v>3908</v>
      </c>
      <c r="D1601" s="22" t="s">
        <v>3909</v>
      </c>
      <c r="E1601" s="22" t="s">
        <v>24</v>
      </c>
      <c r="F1601" s="22" t="s">
        <v>746</v>
      </c>
      <c r="G1601" s="23">
        <v>30016</v>
      </c>
      <c r="H1601" s="22" t="s">
        <v>438</v>
      </c>
      <c r="I1601" s="22" t="s">
        <v>2598</v>
      </c>
      <c r="J1601" s="22" t="s">
        <v>27</v>
      </c>
      <c r="K1601" s="10" t="str">
        <f ca="1">DATEDIF('DATA PENDUDUK'!$G1601,TODAY(),"Y")&amp; " TAHUN"</f>
        <v>43 TAHUN</v>
      </c>
      <c r="L1601" s="24" t="s">
        <v>3775</v>
      </c>
    </row>
    <row r="1602" spans="1:12" ht="20.100000000000001" customHeight="1" x14ac:dyDescent="0.25">
      <c r="A1602" s="8">
        <f t="shared" si="24"/>
        <v>1599</v>
      </c>
      <c r="B1602" s="21" t="s">
        <v>3905</v>
      </c>
      <c r="C1602" s="21" t="s">
        <v>3910</v>
      </c>
      <c r="D1602" s="22" t="s">
        <v>3911</v>
      </c>
      <c r="E1602" s="22" t="s">
        <v>24</v>
      </c>
      <c r="F1602" s="22" t="s">
        <v>30</v>
      </c>
      <c r="G1602" s="23">
        <v>38346</v>
      </c>
      <c r="H1602" s="22" t="s">
        <v>438</v>
      </c>
      <c r="I1602" s="22" t="s">
        <v>31</v>
      </c>
      <c r="J1602" s="22" t="s">
        <v>32</v>
      </c>
      <c r="K1602" s="10" t="str">
        <f ca="1">DATEDIF('DATA PENDUDUK'!$G1602,TODAY(),"Y")&amp; " TAHUN"</f>
        <v>20 TAHUN</v>
      </c>
      <c r="L1602" s="24" t="s">
        <v>3775</v>
      </c>
    </row>
    <row r="1603" spans="1:12" ht="20.100000000000001" customHeight="1" x14ac:dyDescent="0.25">
      <c r="A1603" s="8">
        <f t="shared" si="24"/>
        <v>1600</v>
      </c>
      <c r="B1603" s="21" t="s">
        <v>3905</v>
      </c>
      <c r="C1603" s="21" t="s">
        <v>3912</v>
      </c>
      <c r="D1603" s="22" t="s">
        <v>3913</v>
      </c>
      <c r="E1603" s="22" t="s">
        <v>16</v>
      </c>
      <c r="F1603" s="22" t="s">
        <v>30</v>
      </c>
      <c r="G1603" s="23">
        <v>39281</v>
      </c>
      <c r="H1603" s="22" t="s">
        <v>438</v>
      </c>
      <c r="I1603" s="22" t="s">
        <v>40</v>
      </c>
      <c r="J1603" s="22" t="s">
        <v>32</v>
      </c>
      <c r="K1603" s="10" t="str">
        <f ca="1">DATEDIF('DATA PENDUDUK'!$G1603,TODAY(),"Y")&amp; " TAHUN"</f>
        <v>18 TAHUN</v>
      </c>
      <c r="L1603" s="24" t="s">
        <v>3775</v>
      </c>
    </row>
    <row r="1604" spans="1:12" ht="20.100000000000001" customHeight="1" x14ac:dyDescent="0.25">
      <c r="A1604" s="8">
        <f t="shared" si="24"/>
        <v>1601</v>
      </c>
      <c r="B1604" s="21" t="s">
        <v>3905</v>
      </c>
      <c r="C1604" s="21" t="s">
        <v>3914</v>
      </c>
      <c r="D1604" s="22" t="s">
        <v>3915</v>
      </c>
      <c r="E1604" s="22" t="s">
        <v>16</v>
      </c>
      <c r="F1604" s="22" t="s">
        <v>30</v>
      </c>
      <c r="G1604" s="23">
        <v>39290</v>
      </c>
      <c r="H1604" s="22" t="s">
        <v>438</v>
      </c>
      <c r="I1604" s="22" t="s">
        <v>40</v>
      </c>
      <c r="J1604" s="22" t="s">
        <v>32</v>
      </c>
      <c r="K1604" s="10" t="str">
        <f ca="1">DATEDIF('DATA PENDUDUK'!$G1604,TODAY(),"Y")&amp; " TAHUN"</f>
        <v>17 TAHUN</v>
      </c>
      <c r="L1604" s="24" t="s">
        <v>3775</v>
      </c>
    </row>
    <row r="1605" spans="1:12" ht="20.100000000000001" customHeight="1" x14ac:dyDescent="0.25">
      <c r="A1605" s="8">
        <f t="shared" si="24"/>
        <v>1602</v>
      </c>
      <c r="B1605" s="21" t="s">
        <v>3916</v>
      </c>
      <c r="C1605" s="21" t="s">
        <v>3917</v>
      </c>
      <c r="D1605" s="22" t="s">
        <v>3918</v>
      </c>
      <c r="E1605" s="22" t="s">
        <v>16</v>
      </c>
      <c r="F1605" s="22" t="s">
        <v>869</v>
      </c>
      <c r="G1605" s="23">
        <v>21927</v>
      </c>
      <c r="H1605" s="22" t="s">
        <v>438</v>
      </c>
      <c r="I1605" s="22" t="s">
        <v>2593</v>
      </c>
      <c r="J1605" s="22" t="s">
        <v>20</v>
      </c>
      <c r="K1605" s="10" t="str">
        <f ca="1">DATEDIF('DATA PENDUDUK'!$G1605,TODAY(),"Y")&amp; " TAHUN"</f>
        <v>65 TAHUN</v>
      </c>
      <c r="L1605" s="24" t="s">
        <v>3775</v>
      </c>
    </row>
    <row r="1606" spans="1:12" ht="20.100000000000001" customHeight="1" x14ac:dyDescent="0.25">
      <c r="A1606" s="8">
        <f t="shared" ref="A1606:A1669" si="25">IF(D1606="","",ROW()-3)</f>
        <v>1603</v>
      </c>
      <c r="B1606" s="21" t="s">
        <v>3916</v>
      </c>
      <c r="C1606" s="21" t="s">
        <v>3919</v>
      </c>
      <c r="D1606" s="22" t="s">
        <v>3920</v>
      </c>
      <c r="E1606" s="22" t="s">
        <v>24</v>
      </c>
      <c r="F1606" s="22" t="s">
        <v>746</v>
      </c>
      <c r="G1606" s="23">
        <v>27792</v>
      </c>
      <c r="H1606" s="22" t="s">
        <v>438</v>
      </c>
      <c r="I1606" s="22" t="s">
        <v>2598</v>
      </c>
      <c r="J1606" s="22" t="s">
        <v>27</v>
      </c>
      <c r="K1606" s="10" t="str">
        <f ca="1">DATEDIF('DATA PENDUDUK'!$G1606,TODAY(),"Y")&amp; " TAHUN"</f>
        <v>49 TAHUN</v>
      </c>
      <c r="L1606" s="24" t="s">
        <v>3775</v>
      </c>
    </row>
    <row r="1607" spans="1:12" ht="20.100000000000001" customHeight="1" x14ac:dyDescent="0.25">
      <c r="A1607" s="8">
        <f t="shared" si="25"/>
        <v>1604</v>
      </c>
      <c r="B1607" s="21" t="s">
        <v>3916</v>
      </c>
      <c r="C1607" s="21" t="s">
        <v>3921</v>
      </c>
      <c r="D1607" s="22" t="s">
        <v>3922</v>
      </c>
      <c r="E1607" s="22" t="s">
        <v>16</v>
      </c>
      <c r="F1607" s="22" t="s">
        <v>681</v>
      </c>
      <c r="G1607" s="23">
        <v>36222</v>
      </c>
      <c r="H1607" s="22" t="s">
        <v>438</v>
      </c>
      <c r="I1607" s="22" t="s">
        <v>31</v>
      </c>
      <c r="J1607" s="22" t="s">
        <v>32</v>
      </c>
      <c r="K1607" s="10" t="str">
        <f ca="1">DATEDIF('DATA PENDUDUK'!$G1607,TODAY(),"Y")&amp; " TAHUN"</f>
        <v>26 TAHUN</v>
      </c>
      <c r="L1607" s="24" t="s">
        <v>3775</v>
      </c>
    </row>
    <row r="1608" spans="1:12" ht="20.100000000000001" customHeight="1" x14ac:dyDescent="0.25">
      <c r="A1608" s="8">
        <f t="shared" si="25"/>
        <v>1605</v>
      </c>
      <c r="B1608" s="21" t="s">
        <v>3916</v>
      </c>
      <c r="C1608" s="21" t="s">
        <v>3923</v>
      </c>
      <c r="D1608" s="22" t="s">
        <v>3924</v>
      </c>
      <c r="E1608" s="22" t="s">
        <v>24</v>
      </c>
      <c r="F1608" s="22" t="s">
        <v>681</v>
      </c>
      <c r="G1608" s="23">
        <v>36604</v>
      </c>
      <c r="H1608" s="22" t="s">
        <v>438</v>
      </c>
      <c r="I1608" s="22" t="s">
        <v>31</v>
      </c>
      <c r="J1608" s="22" t="s">
        <v>32</v>
      </c>
      <c r="K1608" s="10" t="str">
        <f ca="1">DATEDIF('DATA PENDUDUK'!$G1608,TODAY(),"Y")&amp; " TAHUN"</f>
        <v>25 TAHUN</v>
      </c>
      <c r="L1608" s="24" t="s">
        <v>3775</v>
      </c>
    </row>
    <row r="1609" spans="1:12" ht="20.100000000000001" customHeight="1" x14ac:dyDescent="0.25">
      <c r="A1609" s="8">
        <f t="shared" si="25"/>
        <v>1606</v>
      </c>
      <c r="B1609" s="21" t="s">
        <v>3916</v>
      </c>
      <c r="C1609" s="21" t="s">
        <v>3925</v>
      </c>
      <c r="D1609" s="22" t="s">
        <v>3926</v>
      </c>
      <c r="E1609" s="22" t="s">
        <v>16</v>
      </c>
      <c r="F1609" s="22" t="s">
        <v>3927</v>
      </c>
      <c r="G1609" s="23">
        <v>35691</v>
      </c>
      <c r="H1609" s="22" t="s">
        <v>438</v>
      </c>
      <c r="I1609" s="22" t="s">
        <v>40</v>
      </c>
      <c r="J1609" s="22" t="s">
        <v>3885</v>
      </c>
      <c r="K1609" s="10" t="str">
        <f ca="1">DATEDIF('DATA PENDUDUK'!$G1609,TODAY(),"Y")&amp; " TAHUN"</f>
        <v>27 TAHUN</v>
      </c>
      <c r="L1609" s="24" t="s">
        <v>3775</v>
      </c>
    </row>
    <row r="1610" spans="1:12" ht="20.100000000000001" customHeight="1" x14ac:dyDescent="0.25">
      <c r="A1610" s="8">
        <f t="shared" si="25"/>
        <v>1607</v>
      </c>
      <c r="B1610" s="21" t="s">
        <v>3928</v>
      </c>
      <c r="C1610" s="21" t="s">
        <v>3929</v>
      </c>
      <c r="D1610" s="22" t="s">
        <v>3930</v>
      </c>
      <c r="E1610" s="22" t="s">
        <v>24</v>
      </c>
      <c r="F1610" s="22" t="s">
        <v>768</v>
      </c>
      <c r="G1610" s="23">
        <v>27640</v>
      </c>
      <c r="H1610" s="22" t="s">
        <v>18</v>
      </c>
      <c r="I1610" s="22" t="s">
        <v>2598</v>
      </c>
      <c r="J1610" s="22" t="s">
        <v>20</v>
      </c>
      <c r="K1610" s="10" t="str">
        <f ca="1">DATEDIF('DATA PENDUDUK'!$G1610,TODAY(),"Y")&amp; " TAHUN"</f>
        <v>49 TAHUN</v>
      </c>
      <c r="L1610" s="24" t="s">
        <v>3775</v>
      </c>
    </row>
    <row r="1611" spans="1:12" ht="20.100000000000001" customHeight="1" x14ac:dyDescent="0.25">
      <c r="A1611" s="8">
        <f t="shared" si="25"/>
        <v>1608</v>
      </c>
      <c r="B1611" s="21" t="s">
        <v>3928</v>
      </c>
      <c r="C1611" s="21" t="s">
        <v>1290</v>
      </c>
      <c r="D1611" s="22" t="s">
        <v>1291</v>
      </c>
      <c r="E1611" s="22" t="s">
        <v>16</v>
      </c>
      <c r="F1611" s="22" t="s">
        <v>30</v>
      </c>
      <c r="G1611" s="23">
        <v>36324</v>
      </c>
      <c r="H1611" s="22" t="s">
        <v>438</v>
      </c>
      <c r="I1611" s="22" t="s">
        <v>40</v>
      </c>
      <c r="J1611" s="22" t="s">
        <v>3885</v>
      </c>
      <c r="K1611" s="10" t="str">
        <f ca="1">DATEDIF('DATA PENDUDUK'!$G1611,TODAY(),"Y")&amp; " TAHUN"</f>
        <v>26 TAHUN</v>
      </c>
      <c r="L1611" s="24" t="s">
        <v>3775</v>
      </c>
    </row>
    <row r="1612" spans="1:12" ht="20.100000000000001" customHeight="1" x14ac:dyDescent="0.25">
      <c r="A1612" s="8">
        <f t="shared" si="25"/>
        <v>1609</v>
      </c>
      <c r="B1612" s="21" t="s">
        <v>3931</v>
      </c>
      <c r="C1612" s="21" t="s">
        <v>3932</v>
      </c>
      <c r="D1612" s="22" t="s">
        <v>3933</v>
      </c>
      <c r="E1612" s="22" t="s">
        <v>16</v>
      </c>
      <c r="F1612" s="22" t="s">
        <v>1868</v>
      </c>
      <c r="G1612" s="23">
        <v>36715</v>
      </c>
      <c r="H1612" s="22" t="s">
        <v>438</v>
      </c>
      <c r="I1612" s="22" t="s">
        <v>40</v>
      </c>
      <c r="J1612" s="22" t="s">
        <v>20</v>
      </c>
      <c r="K1612" s="10" t="str">
        <f ca="1">DATEDIF('DATA PENDUDUK'!$G1612,TODAY(),"Y")&amp; " TAHUN"</f>
        <v>25 TAHUN</v>
      </c>
      <c r="L1612" s="24" t="s">
        <v>3775</v>
      </c>
    </row>
    <row r="1613" spans="1:12" ht="20.100000000000001" customHeight="1" x14ac:dyDescent="0.25">
      <c r="A1613" s="8">
        <f t="shared" si="25"/>
        <v>1610</v>
      </c>
      <c r="B1613" s="21" t="s">
        <v>3934</v>
      </c>
      <c r="C1613" s="21" t="s">
        <v>3935</v>
      </c>
      <c r="D1613" s="22" t="s">
        <v>3936</v>
      </c>
      <c r="E1613" s="22" t="s">
        <v>16</v>
      </c>
      <c r="F1613" s="22" t="s">
        <v>955</v>
      </c>
      <c r="G1613" s="23">
        <v>27107</v>
      </c>
      <c r="H1613" s="22" t="s">
        <v>438</v>
      </c>
      <c r="I1613" s="22" t="s">
        <v>19</v>
      </c>
      <c r="J1613" s="22" t="s">
        <v>20</v>
      </c>
      <c r="K1613" s="10" t="str">
        <f ca="1">DATEDIF('DATA PENDUDUK'!$G1613,TODAY(),"Y")&amp; " TAHUN"</f>
        <v>51 TAHUN</v>
      </c>
      <c r="L1613" s="24" t="s">
        <v>3775</v>
      </c>
    </row>
    <row r="1614" spans="1:12" ht="20.100000000000001" customHeight="1" x14ac:dyDescent="0.25">
      <c r="A1614" s="8">
        <f t="shared" si="25"/>
        <v>1611</v>
      </c>
      <c r="B1614" s="21" t="s">
        <v>3934</v>
      </c>
      <c r="C1614" s="21" t="s">
        <v>3937</v>
      </c>
      <c r="D1614" s="22" t="s">
        <v>3938</v>
      </c>
      <c r="E1614" s="22" t="s">
        <v>24</v>
      </c>
      <c r="F1614" s="22" t="s">
        <v>746</v>
      </c>
      <c r="G1614" s="23">
        <v>28719</v>
      </c>
      <c r="H1614" s="22" t="s">
        <v>438</v>
      </c>
      <c r="I1614" s="22" t="s">
        <v>2598</v>
      </c>
      <c r="J1614" s="22" t="s">
        <v>27</v>
      </c>
      <c r="K1614" s="10" t="str">
        <f ca="1">DATEDIF('DATA PENDUDUK'!$G1614,TODAY(),"Y")&amp; " TAHUN"</f>
        <v>46 TAHUN</v>
      </c>
      <c r="L1614" s="24" t="s">
        <v>3775</v>
      </c>
    </row>
    <row r="1615" spans="1:12" ht="20.100000000000001" customHeight="1" x14ac:dyDescent="0.25">
      <c r="A1615" s="8">
        <f t="shared" si="25"/>
        <v>1612</v>
      </c>
      <c r="B1615" s="21" t="s">
        <v>3934</v>
      </c>
      <c r="C1615" s="21" t="s">
        <v>3939</v>
      </c>
      <c r="D1615" s="22" t="s">
        <v>3940</v>
      </c>
      <c r="E1615" s="22" t="s">
        <v>16</v>
      </c>
      <c r="F1615" s="22" t="s">
        <v>30</v>
      </c>
      <c r="G1615" s="23">
        <v>38430</v>
      </c>
      <c r="H1615" s="22" t="s">
        <v>438</v>
      </c>
      <c r="I1615" s="22" t="s">
        <v>31</v>
      </c>
      <c r="J1615" s="22" t="s">
        <v>32</v>
      </c>
      <c r="K1615" s="10" t="str">
        <f ca="1">DATEDIF('DATA PENDUDUK'!$G1615,TODAY(),"Y")&amp; " TAHUN"</f>
        <v>20 TAHUN</v>
      </c>
      <c r="L1615" s="24" t="s">
        <v>3775</v>
      </c>
    </row>
    <row r="1616" spans="1:12" ht="20.100000000000001" customHeight="1" x14ac:dyDescent="0.25">
      <c r="A1616" s="8">
        <f t="shared" si="25"/>
        <v>1613</v>
      </c>
      <c r="B1616" s="21" t="s">
        <v>3934</v>
      </c>
      <c r="C1616" s="21" t="s">
        <v>3941</v>
      </c>
      <c r="D1616" s="22" t="s">
        <v>3942</v>
      </c>
      <c r="E1616" s="22" t="s">
        <v>16</v>
      </c>
      <c r="F1616" s="22" t="s">
        <v>30</v>
      </c>
      <c r="G1616" s="23">
        <v>39783</v>
      </c>
      <c r="H1616" s="22" t="s">
        <v>438</v>
      </c>
      <c r="I1616" s="22" t="s">
        <v>31</v>
      </c>
      <c r="J1616" s="22" t="s">
        <v>32</v>
      </c>
      <c r="K1616" s="10" t="str">
        <f ca="1">DATEDIF('DATA PENDUDUK'!$G1616,TODAY(),"Y")&amp; " TAHUN"</f>
        <v>16 TAHUN</v>
      </c>
      <c r="L1616" s="24" t="s">
        <v>3775</v>
      </c>
    </row>
    <row r="1617" spans="1:12" ht="20.100000000000001" customHeight="1" x14ac:dyDescent="0.25">
      <c r="A1617" s="8">
        <f t="shared" si="25"/>
        <v>1614</v>
      </c>
      <c r="B1617" s="21" t="s">
        <v>3934</v>
      </c>
      <c r="C1617" s="21" t="s">
        <v>3943</v>
      </c>
      <c r="D1617" s="22" t="s">
        <v>3944</v>
      </c>
      <c r="E1617" s="22" t="s">
        <v>24</v>
      </c>
      <c r="F1617" s="22" t="s">
        <v>30</v>
      </c>
      <c r="G1617" s="23">
        <v>40389</v>
      </c>
      <c r="H1617" s="22" t="s">
        <v>438</v>
      </c>
      <c r="I1617" s="22" t="s">
        <v>31</v>
      </c>
      <c r="J1617" s="22" t="s">
        <v>32</v>
      </c>
      <c r="K1617" s="10" t="str">
        <f ca="1">DATEDIF('DATA PENDUDUK'!$G1617,TODAY(),"Y")&amp; " TAHUN"</f>
        <v>14 TAHUN</v>
      </c>
      <c r="L1617" s="24" t="s">
        <v>3775</v>
      </c>
    </row>
    <row r="1618" spans="1:12" ht="20.100000000000001" customHeight="1" x14ac:dyDescent="0.25">
      <c r="A1618" s="8">
        <f t="shared" si="25"/>
        <v>1615</v>
      </c>
      <c r="B1618" s="21" t="s">
        <v>3934</v>
      </c>
      <c r="C1618" s="21" t="s">
        <v>3945</v>
      </c>
      <c r="D1618" s="22" t="s">
        <v>3946</v>
      </c>
      <c r="E1618" s="22" t="s">
        <v>24</v>
      </c>
      <c r="F1618" s="22" t="s">
        <v>30</v>
      </c>
      <c r="G1618" s="23">
        <v>40695</v>
      </c>
      <c r="H1618" s="22" t="s">
        <v>438</v>
      </c>
      <c r="I1618" s="22" t="s">
        <v>40</v>
      </c>
      <c r="J1618" s="22" t="s">
        <v>32</v>
      </c>
      <c r="K1618" s="10" t="str">
        <f ca="1">DATEDIF('DATA PENDUDUK'!$G1618,TODAY(),"Y")&amp; " TAHUN"</f>
        <v>14 TAHUN</v>
      </c>
      <c r="L1618" s="24" t="s">
        <v>3775</v>
      </c>
    </row>
    <row r="1619" spans="1:12" ht="20.100000000000001" customHeight="1" x14ac:dyDescent="0.25">
      <c r="A1619" s="8">
        <f t="shared" si="25"/>
        <v>1616</v>
      </c>
      <c r="B1619" s="21" t="s">
        <v>3947</v>
      </c>
      <c r="C1619" s="21" t="s">
        <v>3948</v>
      </c>
      <c r="D1619" s="22" t="s">
        <v>3949</v>
      </c>
      <c r="E1619" s="22" t="s">
        <v>3950</v>
      </c>
      <c r="F1619" s="22" t="s">
        <v>846</v>
      </c>
      <c r="G1619" s="23">
        <v>25766</v>
      </c>
      <c r="H1619" s="22" t="s">
        <v>18</v>
      </c>
      <c r="I1619" s="22" t="s">
        <v>73</v>
      </c>
      <c r="J1619" s="22" t="s">
        <v>20</v>
      </c>
      <c r="K1619" s="10" t="str">
        <f ca="1">DATEDIF('DATA PENDUDUK'!$G1619,TODAY(),"Y")&amp; " TAHUN"</f>
        <v>55 TAHUN</v>
      </c>
      <c r="L1619" s="24" t="s">
        <v>3775</v>
      </c>
    </row>
    <row r="1620" spans="1:12" ht="20.100000000000001" customHeight="1" x14ac:dyDescent="0.25">
      <c r="A1620" s="8">
        <f t="shared" si="25"/>
        <v>1617</v>
      </c>
      <c r="B1620" s="21" t="s">
        <v>3947</v>
      </c>
      <c r="C1620" s="21" t="s">
        <v>3951</v>
      </c>
      <c r="D1620" s="22" t="s">
        <v>3952</v>
      </c>
      <c r="E1620" s="22" t="s">
        <v>24</v>
      </c>
      <c r="F1620" s="22" t="s">
        <v>3953</v>
      </c>
      <c r="G1620" s="23">
        <v>25511</v>
      </c>
      <c r="H1620" s="22" t="s">
        <v>18</v>
      </c>
      <c r="I1620" s="22" t="s">
        <v>2598</v>
      </c>
      <c r="J1620" s="22" t="s">
        <v>27</v>
      </c>
      <c r="K1620" s="10" t="str">
        <f ca="1">DATEDIF('DATA PENDUDUK'!$G1620,TODAY(),"Y")&amp; " TAHUN"</f>
        <v>55 TAHUN</v>
      </c>
      <c r="L1620" s="24" t="s">
        <v>3775</v>
      </c>
    </row>
    <row r="1621" spans="1:12" ht="20.100000000000001" customHeight="1" x14ac:dyDescent="0.25">
      <c r="A1621" s="8">
        <f t="shared" si="25"/>
        <v>1618</v>
      </c>
      <c r="B1621" s="21" t="s">
        <v>3947</v>
      </c>
      <c r="C1621" s="21" t="s">
        <v>3954</v>
      </c>
      <c r="D1621" s="22" t="s">
        <v>3955</v>
      </c>
      <c r="E1621" s="22" t="s">
        <v>24</v>
      </c>
      <c r="F1621" s="22" t="s">
        <v>366</v>
      </c>
      <c r="G1621" s="23">
        <v>34062</v>
      </c>
      <c r="H1621" s="22" t="s">
        <v>18</v>
      </c>
      <c r="I1621" s="22" t="s">
        <v>31</v>
      </c>
      <c r="J1621" s="22" t="s">
        <v>32</v>
      </c>
      <c r="K1621" s="10" t="str">
        <f ca="1">DATEDIF('DATA PENDUDUK'!$G1621,TODAY(),"Y")&amp; " TAHUN"</f>
        <v>32 TAHUN</v>
      </c>
      <c r="L1621" s="24" t="s">
        <v>3775</v>
      </c>
    </row>
    <row r="1622" spans="1:12" ht="20.100000000000001" customHeight="1" x14ac:dyDescent="0.25">
      <c r="A1622" s="8">
        <f t="shared" si="25"/>
        <v>1619</v>
      </c>
      <c r="B1622" s="21" t="s">
        <v>3947</v>
      </c>
      <c r="C1622" s="21" t="s">
        <v>909</v>
      </c>
      <c r="D1622" s="22" t="s">
        <v>910</v>
      </c>
      <c r="E1622" s="22" t="s">
        <v>24</v>
      </c>
      <c r="F1622" s="22" t="s">
        <v>30</v>
      </c>
      <c r="G1622" s="23">
        <v>34478</v>
      </c>
      <c r="H1622" s="22" t="s">
        <v>18</v>
      </c>
      <c r="I1622" s="22" t="s">
        <v>31</v>
      </c>
      <c r="J1622" s="22" t="s">
        <v>32</v>
      </c>
      <c r="K1622" s="10" t="str">
        <f ca="1">DATEDIF('DATA PENDUDUK'!$G1622,TODAY(),"Y")&amp; " TAHUN"</f>
        <v>31 TAHUN</v>
      </c>
      <c r="L1622" s="24" t="s">
        <v>3775</v>
      </c>
    </row>
    <row r="1623" spans="1:12" ht="20.100000000000001" customHeight="1" x14ac:dyDescent="0.25">
      <c r="A1623" s="8">
        <f t="shared" si="25"/>
        <v>1620</v>
      </c>
      <c r="B1623" s="21" t="s">
        <v>3947</v>
      </c>
      <c r="C1623" s="21" t="s">
        <v>3956</v>
      </c>
      <c r="D1623" s="22" t="s">
        <v>3957</v>
      </c>
      <c r="E1623" s="22" t="s">
        <v>24</v>
      </c>
      <c r="F1623" s="22" t="s">
        <v>30</v>
      </c>
      <c r="G1623" s="23">
        <v>35499</v>
      </c>
      <c r="H1623" s="22" t="s">
        <v>18</v>
      </c>
      <c r="I1623" s="22" t="s">
        <v>31</v>
      </c>
      <c r="J1623" s="22" t="s">
        <v>32</v>
      </c>
      <c r="K1623" s="10" t="str">
        <f ca="1">DATEDIF('DATA PENDUDUK'!$G1623,TODAY(),"Y")&amp; " TAHUN"</f>
        <v>28 TAHUN</v>
      </c>
      <c r="L1623" s="24" t="s">
        <v>3775</v>
      </c>
    </row>
    <row r="1624" spans="1:12" ht="20.100000000000001" customHeight="1" x14ac:dyDescent="0.25">
      <c r="A1624" s="8">
        <f t="shared" si="25"/>
        <v>1621</v>
      </c>
      <c r="B1624" s="21" t="s">
        <v>3947</v>
      </c>
      <c r="C1624" s="21" t="s">
        <v>3958</v>
      </c>
      <c r="D1624" s="22" t="s">
        <v>3959</v>
      </c>
      <c r="E1624" s="22" t="s">
        <v>24</v>
      </c>
      <c r="F1624" s="22" t="s">
        <v>30</v>
      </c>
      <c r="G1624" s="23">
        <v>36417</v>
      </c>
      <c r="H1624" s="22" t="s">
        <v>18</v>
      </c>
      <c r="I1624" s="22" t="s">
        <v>31</v>
      </c>
      <c r="J1624" s="22" t="s">
        <v>32</v>
      </c>
      <c r="K1624" s="10" t="str">
        <f ca="1">DATEDIF('DATA PENDUDUK'!$G1624,TODAY(),"Y")&amp; " TAHUN"</f>
        <v>25 TAHUN</v>
      </c>
      <c r="L1624" s="24" t="s">
        <v>3775</v>
      </c>
    </row>
    <row r="1625" spans="1:12" ht="20.100000000000001" customHeight="1" x14ac:dyDescent="0.25">
      <c r="A1625" s="8">
        <f t="shared" si="25"/>
        <v>1622</v>
      </c>
      <c r="B1625" s="21" t="s">
        <v>3947</v>
      </c>
      <c r="C1625" s="21" t="s">
        <v>3960</v>
      </c>
      <c r="D1625" s="22" t="s">
        <v>3961</v>
      </c>
      <c r="E1625" s="22" t="s">
        <v>24</v>
      </c>
      <c r="F1625" s="22" t="s">
        <v>30</v>
      </c>
      <c r="G1625" s="23">
        <v>38754</v>
      </c>
      <c r="H1625" s="22" t="s">
        <v>18</v>
      </c>
      <c r="I1625" s="22" t="s">
        <v>40</v>
      </c>
      <c r="J1625" s="22" t="s">
        <v>32</v>
      </c>
      <c r="K1625" s="10" t="str">
        <f ca="1">DATEDIF('DATA PENDUDUK'!$G1625,TODAY(),"Y")&amp; " TAHUN"</f>
        <v>19 TAHUN</v>
      </c>
      <c r="L1625" s="24" t="s">
        <v>3775</v>
      </c>
    </row>
    <row r="1626" spans="1:12" ht="20.100000000000001" customHeight="1" x14ac:dyDescent="0.25">
      <c r="A1626" s="8">
        <f t="shared" si="25"/>
        <v>1623</v>
      </c>
      <c r="B1626" s="21" t="s">
        <v>3947</v>
      </c>
      <c r="C1626" s="21" t="s">
        <v>3962</v>
      </c>
      <c r="D1626" s="22" t="s">
        <v>3963</v>
      </c>
      <c r="E1626" s="22" t="s">
        <v>24</v>
      </c>
      <c r="F1626" s="22" t="s">
        <v>376</v>
      </c>
      <c r="G1626" s="23">
        <v>39434</v>
      </c>
      <c r="H1626" s="22" t="s">
        <v>18</v>
      </c>
      <c r="I1626" s="22" t="s">
        <v>40</v>
      </c>
      <c r="J1626" s="22" t="s">
        <v>32</v>
      </c>
      <c r="K1626" s="10" t="str">
        <f ca="1">DATEDIF('DATA PENDUDUK'!$G1626,TODAY(),"Y")&amp; " TAHUN"</f>
        <v>17 TAHUN</v>
      </c>
      <c r="L1626" s="24" t="s">
        <v>3775</v>
      </c>
    </row>
    <row r="1627" spans="1:12" ht="20.100000000000001" customHeight="1" x14ac:dyDescent="0.25">
      <c r="A1627" s="8">
        <f t="shared" si="25"/>
        <v>1624</v>
      </c>
      <c r="B1627" s="21" t="s">
        <v>3964</v>
      </c>
      <c r="C1627" s="21" t="s">
        <v>3965</v>
      </c>
      <c r="D1627" s="22" t="s">
        <v>3966</v>
      </c>
      <c r="E1627" s="22" t="s">
        <v>16</v>
      </c>
      <c r="F1627" s="22" t="s">
        <v>3967</v>
      </c>
      <c r="G1627" s="23">
        <v>30051</v>
      </c>
      <c r="H1627" s="22" t="s">
        <v>35</v>
      </c>
      <c r="I1627" s="22" t="s">
        <v>40</v>
      </c>
      <c r="J1627" s="22" t="s">
        <v>20</v>
      </c>
      <c r="K1627" s="10" t="str">
        <f ca="1">DATEDIF('DATA PENDUDUK'!$G1627,TODAY(),"Y")&amp; " TAHUN"</f>
        <v>43 TAHUN</v>
      </c>
      <c r="L1627" s="24" t="s">
        <v>3775</v>
      </c>
    </row>
    <row r="1628" spans="1:12" ht="20.100000000000001" customHeight="1" x14ac:dyDescent="0.25">
      <c r="A1628" s="8">
        <f t="shared" si="25"/>
        <v>1625</v>
      </c>
      <c r="B1628" s="21" t="s">
        <v>3964</v>
      </c>
      <c r="C1628" s="21" t="s">
        <v>3968</v>
      </c>
      <c r="D1628" s="22" t="s">
        <v>3969</v>
      </c>
      <c r="E1628" s="22" t="s">
        <v>24</v>
      </c>
      <c r="F1628" s="22" t="s">
        <v>3246</v>
      </c>
      <c r="G1628" s="23">
        <v>30435</v>
      </c>
      <c r="H1628" s="22" t="s">
        <v>438</v>
      </c>
      <c r="I1628" s="22" t="s">
        <v>2598</v>
      </c>
      <c r="J1628" s="22" t="s">
        <v>27</v>
      </c>
      <c r="K1628" s="10" t="str">
        <f ca="1">DATEDIF('DATA PENDUDUK'!$G1628,TODAY(),"Y")&amp; " TAHUN"</f>
        <v>42 TAHUN</v>
      </c>
      <c r="L1628" s="24" t="s">
        <v>3775</v>
      </c>
    </row>
    <row r="1629" spans="1:12" ht="20.100000000000001" customHeight="1" x14ac:dyDescent="0.25">
      <c r="A1629" s="8">
        <f t="shared" si="25"/>
        <v>1626</v>
      </c>
      <c r="B1629" s="21" t="s">
        <v>3964</v>
      </c>
      <c r="C1629" s="21" t="s">
        <v>3970</v>
      </c>
      <c r="D1629" s="22" t="s">
        <v>3971</v>
      </c>
      <c r="E1629" s="22" t="s">
        <v>24</v>
      </c>
      <c r="F1629" s="22" t="s">
        <v>3972</v>
      </c>
      <c r="G1629" s="23">
        <v>39712</v>
      </c>
      <c r="H1629" s="22" t="s">
        <v>35</v>
      </c>
      <c r="I1629" s="22" t="s">
        <v>40</v>
      </c>
      <c r="J1629" s="22" t="s">
        <v>32</v>
      </c>
      <c r="K1629" s="10" t="str">
        <f ca="1">DATEDIF('DATA PENDUDUK'!$G1629,TODAY(),"Y")&amp; " TAHUN"</f>
        <v>16 TAHUN</v>
      </c>
      <c r="L1629" s="24" t="s">
        <v>3775</v>
      </c>
    </row>
    <row r="1630" spans="1:12" ht="20.100000000000001" customHeight="1" x14ac:dyDescent="0.25">
      <c r="A1630" s="8">
        <f t="shared" si="25"/>
        <v>1627</v>
      </c>
      <c r="B1630" s="21" t="s">
        <v>3964</v>
      </c>
      <c r="C1630" s="21" t="s">
        <v>3973</v>
      </c>
      <c r="D1630" s="22" t="s">
        <v>3974</v>
      </c>
      <c r="E1630" s="22" t="s">
        <v>24</v>
      </c>
      <c r="F1630" s="22" t="s">
        <v>3975</v>
      </c>
      <c r="G1630" s="23">
        <v>40683</v>
      </c>
      <c r="H1630" s="22" t="s">
        <v>35</v>
      </c>
      <c r="I1630" s="22" t="s">
        <v>40</v>
      </c>
      <c r="J1630" s="22" t="s">
        <v>32</v>
      </c>
      <c r="K1630" s="10" t="str">
        <f ca="1">DATEDIF('DATA PENDUDUK'!$G1630,TODAY(),"Y")&amp; " TAHUN"</f>
        <v>14 TAHUN</v>
      </c>
      <c r="L1630" s="24" t="s">
        <v>3775</v>
      </c>
    </row>
    <row r="1631" spans="1:12" ht="20.100000000000001" customHeight="1" x14ac:dyDescent="0.25">
      <c r="A1631" s="8">
        <f t="shared" si="25"/>
        <v>1628</v>
      </c>
      <c r="B1631" s="21" t="s">
        <v>3976</v>
      </c>
      <c r="C1631" s="21" t="s">
        <v>3977</v>
      </c>
      <c r="D1631" s="22" t="s">
        <v>3978</v>
      </c>
      <c r="E1631" s="22" t="s">
        <v>24</v>
      </c>
      <c r="F1631" s="22" t="s">
        <v>869</v>
      </c>
      <c r="G1631" s="23">
        <v>23151</v>
      </c>
      <c r="H1631" s="22" t="s">
        <v>438</v>
      </c>
      <c r="I1631" s="22" t="s">
        <v>2598</v>
      </c>
      <c r="J1631" s="22" t="s">
        <v>20</v>
      </c>
      <c r="K1631" s="10" t="str">
        <f ca="1">DATEDIF('DATA PENDUDUK'!$G1631,TODAY(),"Y")&amp; " TAHUN"</f>
        <v>62 TAHUN</v>
      </c>
      <c r="L1631" s="24" t="s">
        <v>3775</v>
      </c>
    </row>
    <row r="1632" spans="1:12" ht="20.100000000000001" customHeight="1" x14ac:dyDescent="0.25">
      <c r="A1632" s="8">
        <f t="shared" si="25"/>
        <v>1629</v>
      </c>
      <c r="B1632" s="21" t="s">
        <v>3976</v>
      </c>
      <c r="C1632" s="21" t="s">
        <v>3979</v>
      </c>
      <c r="D1632" s="22" t="s">
        <v>3980</v>
      </c>
      <c r="E1632" s="22" t="s">
        <v>24</v>
      </c>
      <c r="F1632" s="22" t="s">
        <v>869</v>
      </c>
      <c r="G1632" s="23">
        <v>30902</v>
      </c>
      <c r="H1632" s="22" t="s">
        <v>438</v>
      </c>
      <c r="I1632" s="22" t="s">
        <v>2598</v>
      </c>
      <c r="J1632" s="22" t="s">
        <v>32</v>
      </c>
      <c r="K1632" s="10" t="str">
        <f ca="1">DATEDIF('DATA PENDUDUK'!$G1632,TODAY(),"Y")&amp; " TAHUN"</f>
        <v>40 TAHUN</v>
      </c>
      <c r="L1632" s="24" t="s">
        <v>3775</v>
      </c>
    </row>
    <row r="1633" spans="1:12" ht="20.100000000000001" customHeight="1" x14ac:dyDescent="0.25">
      <c r="A1633" s="8">
        <f t="shared" si="25"/>
        <v>1630</v>
      </c>
      <c r="B1633" s="21" t="s">
        <v>3976</v>
      </c>
      <c r="C1633" s="21" t="s">
        <v>3981</v>
      </c>
      <c r="D1633" s="22" t="s">
        <v>3982</v>
      </c>
      <c r="E1633" s="22" t="s">
        <v>24</v>
      </c>
      <c r="F1633" s="22" t="s">
        <v>869</v>
      </c>
      <c r="G1633" s="23">
        <v>31048</v>
      </c>
      <c r="H1633" s="22" t="s">
        <v>438</v>
      </c>
      <c r="I1633" s="22" t="s">
        <v>40</v>
      </c>
      <c r="J1633" s="22" t="s">
        <v>32</v>
      </c>
      <c r="K1633" s="10" t="str">
        <f ca="1">DATEDIF('DATA PENDUDUK'!$G1633,TODAY(),"Y")&amp; " TAHUN"</f>
        <v>40 TAHUN</v>
      </c>
      <c r="L1633" s="24" t="s">
        <v>3775</v>
      </c>
    </row>
    <row r="1634" spans="1:12" ht="20.100000000000001" customHeight="1" x14ac:dyDescent="0.25">
      <c r="A1634" s="8">
        <f t="shared" si="25"/>
        <v>1631</v>
      </c>
      <c r="B1634" s="21" t="s">
        <v>3976</v>
      </c>
      <c r="C1634" s="21" t="s">
        <v>3983</v>
      </c>
      <c r="D1634" s="22" t="s">
        <v>3984</v>
      </c>
      <c r="E1634" s="22" t="s">
        <v>16</v>
      </c>
      <c r="F1634" s="22" t="s">
        <v>869</v>
      </c>
      <c r="G1634" s="23">
        <v>31950</v>
      </c>
      <c r="H1634" s="22" t="s">
        <v>438</v>
      </c>
      <c r="I1634" s="22" t="s">
        <v>40</v>
      </c>
      <c r="J1634" s="22" t="s">
        <v>32</v>
      </c>
      <c r="K1634" s="10" t="str">
        <f ca="1">DATEDIF('DATA PENDUDUK'!$G1634,TODAY(),"Y")&amp; " TAHUN"</f>
        <v>38 TAHUN</v>
      </c>
      <c r="L1634" s="24" t="s">
        <v>3775</v>
      </c>
    </row>
    <row r="1635" spans="1:12" ht="20.100000000000001" customHeight="1" x14ac:dyDescent="0.25">
      <c r="A1635" s="8">
        <f t="shared" si="25"/>
        <v>1632</v>
      </c>
      <c r="B1635" s="21" t="s">
        <v>3976</v>
      </c>
      <c r="C1635" s="21" t="s">
        <v>3985</v>
      </c>
      <c r="D1635" s="22" t="s">
        <v>3986</v>
      </c>
      <c r="E1635" s="22" t="s">
        <v>24</v>
      </c>
      <c r="F1635" s="22" t="s">
        <v>3987</v>
      </c>
      <c r="G1635" s="23">
        <v>32315</v>
      </c>
      <c r="H1635" s="22" t="s">
        <v>438</v>
      </c>
      <c r="I1635" s="22" t="s">
        <v>40</v>
      </c>
      <c r="J1635" s="22" t="s">
        <v>32</v>
      </c>
      <c r="K1635" s="10" t="str">
        <f ca="1">DATEDIF('DATA PENDUDUK'!$G1635,TODAY(),"Y")&amp; " TAHUN"</f>
        <v>37 TAHUN</v>
      </c>
      <c r="L1635" s="24" t="s">
        <v>3775</v>
      </c>
    </row>
    <row r="1636" spans="1:12" ht="20.100000000000001" customHeight="1" x14ac:dyDescent="0.25">
      <c r="A1636" s="8">
        <f t="shared" si="25"/>
        <v>1633</v>
      </c>
      <c r="B1636" s="21" t="s">
        <v>3976</v>
      </c>
      <c r="C1636" s="21" t="s">
        <v>3988</v>
      </c>
      <c r="D1636" s="22" t="s">
        <v>3989</v>
      </c>
      <c r="E1636" s="22" t="s">
        <v>24</v>
      </c>
      <c r="F1636" s="22" t="s">
        <v>869</v>
      </c>
      <c r="G1636" s="23">
        <v>34034</v>
      </c>
      <c r="H1636" s="22" t="s">
        <v>438</v>
      </c>
      <c r="I1636" s="22" t="s">
        <v>40</v>
      </c>
      <c r="J1636" s="22" t="s">
        <v>32</v>
      </c>
      <c r="K1636" s="10" t="str">
        <f ca="1">DATEDIF('DATA PENDUDUK'!$G1636,TODAY(),"Y")&amp; " TAHUN"</f>
        <v>32 TAHUN</v>
      </c>
      <c r="L1636" s="24" t="s">
        <v>3775</v>
      </c>
    </row>
    <row r="1637" spans="1:12" ht="20.100000000000001" customHeight="1" x14ac:dyDescent="0.25">
      <c r="A1637" s="8">
        <f t="shared" si="25"/>
        <v>1634</v>
      </c>
      <c r="B1637" s="21" t="s">
        <v>3976</v>
      </c>
      <c r="C1637" s="21" t="s">
        <v>3990</v>
      </c>
      <c r="D1637" s="22" t="s">
        <v>3991</v>
      </c>
      <c r="E1637" s="22" t="s">
        <v>24</v>
      </c>
      <c r="F1637" s="22" t="s">
        <v>30</v>
      </c>
      <c r="G1637" s="23">
        <v>36044</v>
      </c>
      <c r="H1637" s="22" t="s">
        <v>438</v>
      </c>
      <c r="I1637" s="22" t="s">
        <v>40</v>
      </c>
      <c r="J1637" s="22" t="s">
        <v>32</v>
      </c>
      <c r="K1637" s="10" t="str">
        <f ca="1">DATEDIF('DATA PENDUDUK'!$G1637,TODAY(),"Y")&amp; " TAHUN"</f>
        <v>26 TAHUN</v>
      </c>
      <c r="L1637" s="24" t="s">
        <v>3775</v>
      </c>
    </row>
    <row r="1638" spans="1:12" ht="20.100000000000001" customHeight="1" x14ac:dyDescent="0.25">
      <c r="A1638" s="8">
        <f t="shared" si="25"/>
        <v>1635</v>
      </c>
      <c r="B1638" s="21" t="s">
        <v>3976</v>
      </c>
      <c r="C1638" s="21" t="s">
        <v>3992</v>
      </c>
      <c r="D1638" s="22" t="s">
        <v>3993</v>
      </c>
      <c r="E1638" s="22" t="s">
        <v>16</v>
      </c>
      <c r="F1638" s="22" t="s">
        <v>3643</v>
      </c>
      <c r="G1638" s="23">
        <v>26349</v>
      </c>
      <c r="H1638" s="22" t="s">
        <v>438</v>
      </c>
      <c r="I1638" s="22" t="s">
        <v>1628</v>
      </c>
      <c r="J1638" s="22" t="s">
        <v>3885</v>
      </c>
      <c r="K1638" s="10" t="str">
        <f ca="1">DATEDIF('DATA PENDUDUK'!$G1638,TODAY(),"Y")&amp; " TAHUN"</f>
        <v>53 TAHUN</v>
      </c>
      <c r="L1638" s="24" t="s">
        <v>3775</v>
      </c>
    </row>
    <row r="1639" spans="1:12" ht="20.100000000000001" customHeight="1" x14ac:dyDescent="0.25">
      <c r="A1639" s="8">
        <f t="shared" si="25"/>
        <v>1636</v>
      </c>
      <c r="B1639" s="21" t="s">
        <v>3976</v>
      </c>
      <c r="C1639" s="21" t="s">
        <v>3994</v>
      </c>
      <c r="D1639" s="22" t="s">
        <v>3995</v>
      </c>
      <c r="E1639" s="22" t="s">
        <v>16</v>
      </c>
      <c r="F1639" s="22" t="s">
        <v>3996</v>
      </c>
      <c r="G1639" s="23">
        <v>33333</v>
      </c>
      <c r="H1639" s="22" t="s">
        <v>438</v>
      </c>
      <c r="I1639" s="22" t="s">
        <v>31</v>
      </c>
      <c r="J1639" s="22" t="s">
        <v>3885</v>
      </c>
      <c r="K1639" s="10" t="str">
        <f ca="1">DATEDIF('DATA PENDUDUK'!$G1639,TODAY(),"Y")&amp; " TAHUN"</f>
        <v>34 TAHUN</v>
      </c>
      <c r="L1639" s="24" t="s">
        <v>3775</v>
      </c>
    </row>
    <row r="1640" spans="1:12" ht="20.100000000000001" customHeight="1" x14ac:dyDescent="0.25">
      <c r="A1640" s="8">
        <f t="shared" si="25"/>
        <v>1637</v>
      </c>
      <c r="B1640" s="21" t="s">
        <v>3997</v>
      </c>
      <c r="C1640" s="21" t="s">
        <v>3998</v>
      </c>
      <c r="D1640" s="22" t="s">
        <v>3999</v>
      </c>
      <c r="E1640" s="22" t="s">
        <v>16</v>
      </c>
      <c r="F1640" s="22" t="s">
        <v>4000</v>
      </c>
      <c r="G1640" s="23">
        <v>26817</v>
      </c>
      <c r="H1640" s="22" t="s">
        <v>18</v>
      </c>
      <c r="I1640" s="22" t="s">
        <v>19</v>
      </c>
      <c r="J1640" s="22" t="s">
        <v>20</v>
      </c>
      <c r="K1640" s="10" t="str">
        <f ca="1">DATEDIF('DATA PENDUDUK'!$G1640,TODAY(),"Y")&amp; " TAHUN"</f>
        <v>52 TAHUN</v>
      </c>
      <c r="L1640" s="24" t="s">
        <v>3775</v>
      </c>
    </row>
    <row r="1641" spans="1:12" ht="20.100000000000001" customHeight="1" x14ac:dyDescent="0.25">
      <c r="A1641" s="8">
        <f t="shared" si="25"/>
        <v>1638</v>
      </c>
      <c r="B1641" s="21" t="s">
        <v>3997</v>
      </c>
      <c r="C1641" s="21" t="s">
        <v>4001</v>
      </c>
      <c r="D1641" s="22" t="s">
        <v>4002</v>
      </c>
      <c r="E1641" s="22" t="s">
        <v>24</v>
      </c>
      <c r="F1641" s="22" t="s">
        <v>30</v>
      </c>
      <c r="G1641" s="23">
        <v>43285</v>
      </c>
      <c r="H1641" s="22" t="s">
        <v>18</v>
      </c>
      <c r="I1641" s="22" t="s">
        <v>40</v>
      </c>
      <c r="J1641" s="22" t="s">
        <v>32</v>
      </c>
      <c r="K1641" s="10" t="str">
        <f ca="1">DATEDIF('DATA PENDUDUK'!$G1641,TODAY(),"Y")&amp; " TAHUN"</f>
        <v>7 TAHUN</v>
      </c>
      <c r="L1641" s="24" t="s">
        <v>3775</v>
      </c>
    </row>
    <row r="1642" spans="1:12" ht="20.100000000000001" customHeight="1" x14ac:dyDescent="0.25">
      <c r="A1642" s="8">
        <f t="shared" si="25"/>
        <v>1639</v>
      </c>
      <c r="B1642" s="21" t="s">
        <v>4003</v>
      </c>
      <c r="C1642" s="21" t="s">
        <v>4004</v>
      </c>
      <c r="D1642" s="22" t="s">
        <v>4005</v>
      </c>
      <c r="E1642" s="22" t="s">
        <v>16</v>
      </c>
      <c r="F1642" s="22" t="s">
        <v>30</v>
      </c>
      <c r="G1642" s="23">
        <v>30389</v>
      </c>
      <c r="H1642" s="22" t="s">
        <v>18</v>
      </c>
      <c r="I1642" s="22" t="s">
        <v>542</v>
      </c>
      <c r="J1642" s="22" t="s">
        <v>20</v>
      </c>
      <c r="K1642" s="10" t="str">
        <f ca="1">DATEDIF('DATA PENDUDUK'!$G1642,TODAY(),"Y")&amp; " TAHUN"</f>
        <v>42 TAHUN</v>
      </c>
      <c r="L1642" s="24" t="s">
        <v>3775</v>
      </c>
    </row>
    <row r="1643" spans="1:12" ht="20.100000000000001" customHeight="1" x14ac:dyDescent="0.25">
      <c r="A1643" s="8">
        <f t="shared" si="25"/>
        <v>1640</v>
      </c>
      <c r="B1643" s="21" t="s">
        <v>4003</v>
      </c>
      <c r="C1643" s="21" t="s">
        <v>4006</v>
      </c>
      <c r="D1643" s="22" t="s">
        <v>4007</v>
      </c>
      <c r="E1643" s="22" t="s">
        <v>24</v>
      </c>
      <c r="F1643" s="22" t="s">
        <v>780</v>
      </c>
      <c r="G1643" s="23">
        <v>29864</v>
      </c>
      <c r="H1643" s="22" t="s">
        <v>18</v>
      </c>
      <c r="I1643" s="22" t="s">
        <v>2598</v>
      </c>
      <c r="J1643" s="22" t="s">
        <v>27</v>
      </c>
      <c r="K1643" s="10" t="str">
        <f ca="1">DATEDIF('DATA PENDUDUK'!$G1643,TODAY(),"Y")&amp; " TAHUN"</f>
        <v>43 TAHUN</v>
      </c>
      <c r="L1643" s="24" t="s">
        <v>3775</v>
      </c>
    </row>
    <row r="1644" spans="1:12" ht="20.100000000000001" customHeight="1" x14ac:dyDescent="0.25">
      <c r="A1644" s="8">
        <f t="shared" si="25"/>
        <v>1641</v>
      </c>
      <c r="B1644" s="21" t="s">
        <v>4003</v>
      </c>
      <c r="C1644" s="21" t="s">
        <v>4008</v>
      </c>
      <c r="D1644" s="22" t="s">
        <v>4009</v>
      </c>
      <c r="E1644" s="22" t="s">
        <v>16</v>
      </c>
      <c r="F1644" s="22" t="s">
        <v>30</v>
      </c>
      <c r="G1644" s="23">
        <v>39706</v>
      </c>
      <c r="H1644" s="22" t="s">
        <v>18</v>
      </c>
      <c r="I1644" s="22" t="s">
        <v>40</v>
      </c>
      <c r="J1644" s="22" t="s">
        <v>32</v>
      </c>
      <c r="K1644" s="10" t="str">
        <f ca="1">DATEDIF('DATA PENDUDUK'!$G1644,TODAY(),"Y")&amp; " TAHUN"</f>
        <v>16 TAHUN</v>
      </c>
      <c r="L1644" s="24" t="s">
        <v>3775</v>
      </c>
    </row>
    <row r="1645" spans="1:12" ht="20.100000000000001" customHeight="1" x14ac:dyDescent="0.25">
      <c r="A1645" s="8">
        <f t="shared" si="25"/>
        <v>1642</v>
      </c>
      <c r="B1645" s="21" t="s">
        <v>4010</v>
      </c>
      <c r="C1645" s="21" t="s">
        <v>4011</v>
      </c>
      <c r="D1645" s="22" t="s">
        <v>4012</v>
      </c>
      <c r="E1645" s="22" t="s">
        <v>671</v>
      </c>
      <c r="F1645" s="22" t="s">
        <v>866</v>
      </c>
      <c r="G1645" s="23">
        <v>30540</v>
      </c>
      <c r="H1645" s="22" t="s">
        <v>438</v>
      </c>
      <c r="I1645" s="22" t="s">
        <v>36</v>
      </c>
      <c r="J1645" s="22" t="s">
        <v>20</v>
      </c>
      <c r="K1645" s="10" t="str">
        <f ca="1">DATEDIF('DATA PENDUDUK'!$G1645,TODAY(),"Y")&amp; " TAHUN"</f>
        <v>41 TAHUN</v>
      </c>
      <c r="L1645" s="24" t="s">
        <v>4013</v>
      </c>
    </row>
    <row r="1646" spans="1:12" ht="20.100000000000001" customHeight="1" x14ac:dyDescent="0.25">
      <c r="A1646" s="8">
        <f t="shared" si="25"/>
        <v>1643</v>
      </c>
      <c r="B1646" s="21" t="s">
        <v>4010</v>
      </c>
      <c r="C1646" s="21" t="s">
        <v>4014</v>
      </c>
      <c r="D1646" s="22" t="s">
        <v>4015</v>
      </c>
      <c r="E1646" s="22" t="s">
        <v>1306</v>
      </c>
      <c r="F1646" s="22" t="s">
        <v>866</v>
      </c>
      <c r="G1646" s="23">
        <v>33091</v>
      </c>
      <c r="H1646" s="22" t="s">
        <v>438</v>
      </c>
      <c r="I1646" s="22" t="s">
        <v>26</v>
      </c>
      <c r="J1646" s="22" t="s">
        <v>27</v>
      </c>
      <c r="K1646" s="10" t="str">
        <f ca="1">DATEDIF('DATA PENDUDUK'!$G1646,TODAY(),"Y")&amp; " TAHUN"</f>
        <v>34 TAHUN</v>
      </c>
      <c r="L1646" s="24" t="s">
        <v>4013</v>
      </c>
    </row>
    <row r="1647" spans="1:12" ht="20.100000000000001" customHeight="1" x14ac:dyDescent="0.25">
      <c r="A1647" s="8">
        <f t="shared" si="25"/>
        <v>1644</v>
      </c>
      <c r="B1647" s="21" t="s">
        <v>4010</v>
      </c>
      <c r="C1647" s="21" t="s">
        <v>4016</v>
      </c>
      <c r="D1647" s="22" t="s">
        <v>4017</v>
      </c>
      <c r="E1647" s="22" t="s">
        <v>671</v>
      </c>
      <c r="F1647" s="22" t="s">
        <v>30</v>
      </c>
      <c r="G1647" s="23">
        <v>39699</v>
      </c>
      <c r="H1647" s="22" t="s">
        <v>438</v>
      </c>
      <c r="I1647" s="22" t="s">
        <v>31</v>
      </c>
      <c r="J1647" s="22" t="s">
        <v>32</v>
      </c>
      <c r="K1647" s="10" t="str">
        <f ca="1">DATEDIF('DATA PENDUDUK'!$G1647,TODAY(),"Y")&amp; " TAHUN"</f>
        <v>16 TAHUN</v>
      </c>
      <c r="L1647" s="24" t="s">
        <v>4013</v>
      </c>
    </row>
    <row r="1648" spans="1:12" ht="20.100000000000001" customHeight="1" x14ac:dyDescent="0.25">
      <c r="A1648" s="8">
        <f t="shared" si="25"/>
        <v>1645</v>
      </c>
      <c r="B1648" s="21" t="s">
        <v>4010</v>
      </c>
      <c r="C1648" s="21" t="s">
        <v>4018</v>
      </c>
      <c r="D1648" s="22" t="s">
        <v>4019</v>
      </c>
      <c r="E1648" s="22" t="s">
        <v>671</v>
      </c>
      <c r="F1648" s="22" t="s">
        <v>866</v>
      </c>
      <c r="G1648" s="23">
        <v>33062</v>
      </c>
      <c r="H1648" s="22" t="s">
        <v>438</v>
      </c>
      <c r="I1648" s="22" t="s">
        <v>40</v>
      </c>
      <c r="J1648" s="22" t="s">
        <v>37</v>
      </c>
      <c r="K1648" s="10" t="str">
        <f ca="1">DATEDIF('DATA PENDUDUK'!$G1648,TODAY(),"Y")&amp; " TAHUN"</f>
        <v>35 TAHUN</v>
      </c>
      <c r="L1648" s="24" t="s">
        <v>4013</v>
      </c>
    </row>
    <row r="1649" spans="1:12" ht="20.100000000000001" customHeight="1" x14ac:dyDescent="0.25">
      <c r="A1649" s="8">
        <f t="shared" si="25"/>
        <v>1646</v>
      </c>
      <c r="B1649" s="21" t="s">
        <v>4010</v>
      </c>
      <c r="C1649" s="21" t="s">
        <v>4020</v>
      </c>
      <c r="D1649" s="22" t="s">
        <v>4021</v>
      </c>
      <c r="E1649" s="22" t="s">
        <v>671</v>
      </c>
      <c r="F1649" s="22" t="s">
        <v>4022</v>
      </c>
      <c r="G1649" s="23">
        <v>34518</v>
      </c>
      <c r="H1649" s="22" t="s">
        <v>438</v>
      </c>
      <c r="I1649" s="22" t="s">
        <v>40</v>
      </c>
      <c r="J1649" s="22" t="s">
        <v>37</v>
      </c>
      <c r="K1649" s="10" t="str">
        <f ca="1">DATEDIF('DATA PENDUDUK'!$G1649,TODAY(),"Y")&amp; " TAHUN"</f>
        <v>31 TAHUN</v>
      </c>
      <c r="L1649" s="24" t="s">
        <v>4013</v>
      </c>
    </row>
    <row r="1650" spans="1:12" ht="20.100000000000001" customHeight="1" x14ac:dyDescent="0.25">
      <c r="A1650" s="8">
        <f t="shared" si="25"/>
        <v>1647</v>
      </c>
      <c r="B1650" s="21" t="s">
        <v>4010</v>
      </c>
      <c r="C1650" s="21" t="s">
        <v>4023</v>
      </c>
      <c r="D1650" s="22" t="s">
        <v>4024</v>
      </c>
      <c r="E1650" s="22" t="s">
        <v>671</v>
      </c>
      <c r="F1650" s="22" t="s">
        <v>4022</v>
      </c>
      <c r="G1650" s="23">
        <v>35587</v>
      </c>
      <c r="H1650" s="22" t="s">
        <v>438</v>
      </c>
      <c r="I1650" s="22" t="s">
        <v>40</v>
      </c>
      <c r="J1650" s="22" t="s">
        <v>37</v>
      </c>
      <c r="K1650" s="10" t="str">
        <f ca="1">DATEDIF('DATA PENDUDUK'!$G1650,TODAY(),"Y")&amp; " TAHUN"</f>
        <v>28 TAHUN</v>
      </c>
      <c r="L1650" s="24" t="s">
        <v>4013</v>
      </c>
    </row>
    <row r="1651" spans="1:12" ht="20.100000000000001" customHeight="1" x14ac:dyDescent="0.25">
      <c r="A1651" s="8">
        <f t="shared" si="25"/>
        <v>1648</v>
      </c>
      <c r="B1651" s="21" t="s">
        <v>4025</v>
      </c>
      <c r="C1651" s="21" t="s">
        <v>4026</v>
      </c>
      <c r="D1651" s="22" t="s">
        <v>4027</v>
      </c>
      <c r="E1651" s="22" t="s">
        <v>671</v>
      </c>
      <c r="F1651" s="22" t="s">
        <v>780</v>
      </c>
      <c r="G1651" s="23">
        <v>29623</v>
      </c>
      <c r="H1651" s="22" t="s">
        <v>438</v>
      </c>
      <c r="I1651" s="22" t="s">
        <v>19</v>
      </c>
      <c r="J1651" s="22" t="s">
        <v>20</v>
      </c>
      <c r="K1651" s="10" t="str">
        <f ca="1">DATEDIF('DATA PENDUDUK'!$G1651,TODAY(),"Y")&amp; " TAHUN"</f>
        <v>44 TAHUN</v>
      </c>
      <c r="L1651" s="24" t="s">
        <v>4013</v>
      </c>
    </row>
    <row r="1652" spans="1:12" ht="20.100000000000001" customHeight="1" x14ac:dyDescent="0.25">
      <c r="A1652" s="8">
        <f t="shared" si="25"/>
        <v>1649</v>
      </c>
      <c r="B1652" s="21" t="s">
        <v>4025</v>
      </c>
      <c r="C1652" s="21" t="s">
        <v>4028</v>
      </c>
      <c r="D1652" s="22" t="s">
        <v>4029</v>
      </c>
      <c r="E1652" s="22" t="s">
        <v>1306</v>
      </c>
      <c r="F1652" s="22" t="s">
        <v>955</v>
      </c>
      <c r="G1652" s="23">
        <v>30805</v>
      </c>
      <c r="H1652" s="22" t="s">
        <v>438</v>
      </c>
      <c r="I1652" s="22" t="s">
        <v>36</v>
      </c>
      <c r="J1652" s="22" t="s">
        <v>27</v>
      </c>
      <c r="K1652" s="10" t="str">
        <f ca="1">DATEDIF('DATA PENDUDUK'!$G1652,TODAY(),"Y")&amp; " TAHUN"</f>
        <v>41 TAHUN</v>
      </c>
      <c r="L1652" s="24" t="s">
        <v>4013</v>
      </c>
    </row>
    <row r="1653" spans="1:12" ht="20.100000000000001" customHeight="1" x14ac:dyDescent="0.25">
      <c r="A1653" s="8">
        <f t="shared" si="25"/>
        <v>1650</v>
      </c>
      <c r="B1653" s="21" t="s">
        <v>4025</v>
      </c>
      <c r="C1653" s="21" t="s">
        <v>4030</v>
      </c>
      <c r="D1653" s="22" t="s">
        <v>4031</v>
      </c>
      <c r="E1653" s="22" t="s">
        <v>671</v>
      </c>
      <c r="F1653" s="22" t="s">
        <v>780</v>
      </c>
      <c r="G1653" s="23">
        <v>37594</v>
      </c>
      <c r="H1653" s="22" t="s">
        <v>438</v>
      </c>
      <c r="I1653" s="22" t="s">
        <v>40</v>
      </c>
      <c r="J1653" s="22" t="s">
        <v>32</v>
      </c>
      <c r="K1653" s="10" t="str">
        <f ca="1">DATEDIF('DATA PENDUDUK'!$G1653,TODAY(),"Y")&amp; " TAHUN"</f>
        <v>22 TAHUN</v>
      </c>
      <c r="L1653" s="24" t="s">
        <v>4013</v>
      </c>
    </row>
    <row r="1654" spans="1:12" ht="20.100000000000001" customHeight="1" x14ac:dyDescent="0.25">
      <c r="A1654" s="8">
        <f t="shared" si="25"/>
        <v>1651</v>
      </c>
      <c r="B1654" s="21" t="s">
        <v>4025</v>
      </c>
      <c r="C1654" s="21" t="s">
        <v>4032</v>
      </c>
      <c r="D1654" s="22" t="s">
        <v>4033</v>
      </c>
      <c r="E1654" s="22" t="s">
        <v>1306</v>
      </c>
      <c r="F1654" s="22" t="s">
        <v>681</v>
      </c>
      <c r="G1654" s="23">
        <v>38109</v>
      </c>
      <c r="H1654" s="22" t="s">
        <v>438</v>
      </c>
      <c r="I1654" s="22" t="s">
        <v>40</v>
      </c>
      <c r="J1654" s="22" t="s">
        <v>32</v>
      </c>
      <c r="K1654" s="10" t="str">
        <f ca="1">DATEDIF('DATA PENDUDUK'!$G1654,TODAY(),"Y")&amp; " TAHUN"</f>
        <v>21 TAHUN</v>
      </c>
      <c r="L1654" s="24" t="s">
        <v>4013</v>
      </c>
    </row>
    <row r="1655" spans="1:12" ht="20.100000000000001" customHeight="1" x14ac:dyDescent="0.25">
      <c r="A1655" s="8">
        <f t="shared" si="25"/>
        <v>1652</v>
      </c>
      <c r="B1655" s="21" t="s">
        <v>4025</v>
      </c>
      <c r="C1655" s="21" t="s">
        <v>4034</v>
      </c>
      <c r="D1655" s="22" t="s">
        <v>4035</v>
      </c>
      <c r="E1655" s="22" t="s">
        <v>1306</v>
      </c>
      <c r="F1655" s="22" t="s">
        <v>780</v>
      </c>
      <c r="G1655" s="23">
        <v>39311</v>
      </c>
      <c r="H1655" s="22" t="s">
        <v>438</v>
      </c>
      <c r="I1655" s="22" t="s">
        <v>31</v>
      </c>
      <c r="J1655" s="22" t="s">
        <v>32</v>
      </c>
      <c r="K1655" s="10" t="str">
        <f ca="1">DATEDIF('DATA PENDUDUK'!$G1655,TODAY(),"Y")&amp; " TAHUN"</f>
        <v>17 TAHUN</v>
      </c>
      <c r="L1655" s="24" t="s">
        <v>4013</v>
      </c>
    </row>
    <row r="1656" spans="1:12" ht="20.100000000000001" customHeight="1" x14ac:dyDescent="0.25">
      <c r="A1656" s="8">
        <f t="shared" si="25"/>
        <v>1653</v>
      </c>
      <c r="B1656" s="21" t="s">
        <v>4025</v>
      </c>
      <c r="C1656" s="21" t="s">
        <v>4036</v>
      </c>
      <c r="D1656" s="22" t="s">
        <v>4037</v>
      </c>
      <c r="E1656" s="22" t="s">
        <v>671</v>
      </c>
      <c r="F1656" s="22" t="s">
        <v>780</v>
      </c>
      <c r="G1656" s="23">
        <v>39897</v>
      </c>
      <c r="H1656" s="22" t="s">
        <v>438</v>
      </c>
      <c r="I1656" s="22" t="s">
        <v>31</v>
      </c>
      <c r="J1656" s="22" t="s">
        <v>32</v>
      </c>
      <c r="K1656" s="10" t="str">
        <f ca="1">DATEDIF('DATA PENDUDUK'!$G1656,TODAY(),"Y")&amp; " TAHUN"</f>
        <v>16 TAHUN</v>
      </c>
      <c r="L1656" s="24" t="s">
        <v>4013</v>
      </c>
    </row>
    <row r="1657" spans="1:12" ht="20.100000000000001" customHeight="1" x14ac:dyDescent="0.25">
      <c r="A1657" s="8">
        <f t="shared" si="25"/>
        <v>1654</v>
      </c>
      <c r="B1657" s="21" t="s">
        <v>4025</v>
      </c>
      <c r="C1657" s="21" t="s">
        <v>4038</v>
      </c>
      <c r="D1657" s="22" t="s">
        <v>4039</v>
      </c>
      <c r="E1657" s="22" t="s">
        <v>671</v>
      </c>
      <c r="F1657" s="22" t="s">
        <v>780</v>
      </c>
      <c r="G1657" s="23">
        <v>41731</v>
      </c>
      <c r="H1657" s="22" t="s">
        <v>438</v>
      </c>
      <c r="I1657" s="22" t="s">
        <v>31</v>
      </c>
      <c r="J1657" s="22" t="s">
        <v>32</v>
      </c>
      <c r="K1657" s="10" t="str">
        <f ca="1">DATEDIF('DATA PENDUDUK'!$G1657,TODAY(),"Y")&amp; " TAHUN"</f>
        <v>11 TAHUN</v>
      </c>
      <c r="L1657" s="24" t="s">
        <v>4013</v>
      </c>
    </row>
    <row r="1658" spans="1:12" ht="20.100000000000001" customHeight="1" x14ac:dyDescent="0.25">
      <c r="A1658" s="8">
        <f t="shared" si="25"/>
        <v>1655</v>
      </c>
      <c r="B1658" s="21" t="s">
        <v>4025</v>
      </c>
      <c r="C1658" s="21" t="s">
        <v>4040</v>
      </c>
      <c r="D1658" s="22" t="s">
        <v>4041</v>
      </c>
      <c r="E1658" s="22" t="s">
        <v>671</v>
      </c>
      <c r="F1658" s="22" t="s">
        <v>681</v>
      </c>
      <c r="G1658" s="23">
        <v>43270</v>
      </c>
      <c r="H1658" s="22" t="s">
        <v>438</v>
      </c>
      <c r="I1658" s="22" t="s">
        <v>40</v>
      </c>
      <c r="J1658" s="22" t="s">
        <v>32</v>
      </c>
      <c r="K1658" s="10" t="str">
        <f ca="1">DATEDIF('DATA PENDUDUK'!$G1658,TODAY(),"Y")&amp; " TAHUN"</f>
        <v>7 TAHUN</v>
      </c>
      <c r="L1658" s="24" t="s">
        <v>4013</v>
      </c>
    </row>
    <row r="1659" spans="1:12" ht="20.100000000000001" customHeight="1" x14ac:dyDescent="0.25">
      <c r="A1659" s="8">
        <f t="shared" si="25"/>
        <v>1656</v>
      </c>
      <c r="B1659" s="21" t="s">
        <v>4042</v>
      </c>
      <c r="C1659" s="21" t="s">
        <v>4043</v>
      </c>
      <c r="D1659" s="22" t="s">
        <v>4044</v>
      </c>
      <c r="E1659" s="22" t="s">
        <v>671</v>
      </c>
      <c r="F1659" s="22" t="s">
        <v>955</v>
      </c>
      <c r="G1659" s="23">
        <v>36897</v>
      </c>
      <c r="H1659" s="22" t="s">
        <v>438</v>
      </c>
      <c r="I1659" s="22" t="s">
        <v>40</v>
      </c>
      <c r="J1659" s="22" t="s">
        <v>20</v>
      </c>
      <c r="K1659" s="10" t="str">
        <f ca="1">DATEDIF('DATA PENDUDUK'!$G1659,TODAY(),"Y")&amp; " TAHUN"</f>
        <v>24 TAHUN</v>
      </c>
      <c r="L1659" s="24" t="s">
        <v>4013</v>
      </c>
    </row>
    <row r="1660" spans="1:12" ht="20.100000000000001" customHeight="1" x14ac:dyDescent="0.25">
      <c r="A1660" s="8">
        <f t="shared" si="25"/>
        <v>1657</v>
      </c>
      <c r="B1660" s="21" t="s">
        <v>4042</v>
      </c>
      <c r="C1660" s="21" t="s">
        <v>878</v>
      </c>
      <c r="D1660" s="22" t="s">
        <v>879</v>
      </c>
      <c r="E1660" s="22" t="s">
        <v>1306</v>
      </c>
      <c r="F1660" s="22" t="s">
        <v>30</v>
      </c>
      <c r="G1660" s="23">
        <v>36509</v>
      </c>
      <c r="H1660" s="22" t="s">
        <v>438</v>
      </c>
      <c r="I1660" s="22" t="s">
        <v>40</v>
      </c>
      <c r="J1660" s="22" t="s">
        <v>37</v>
      </c>
      <c r="K1660" s="10" t="str">
        <f ca="1">DATEDIF('DATA PENDUDUK'!$G1660,TODAY(),"Y")&amp; " TAHUN"</f>
        <v>25 TAHUN</v>
      </c>
      <c r="L1660" s="24" t="s">
        <v>4013</v>
      </c>
    </row>
    <row r="1661" spans="1:12" ht="20.100000000000001" customHeight="1" x14ac:dyDescent="0.25">
      <c r="A1661" s="8">
        <f t="shared" si="25"/>
        <v>1658</v>
      </c>
      <c r="B1661" s="21" t="s">
        <v>4042</v>
      </c>
      <c r="C1661" s="21" t="s">
        <v>4045</v>
      </c>
      <c r="D1661" s="22" t="s">
        <v>4046</v>
      </c>
      <c r="E1661" s="22" t="s">
        <v>1306</v>
      </c>
      <c r="F1661" s="22" t="s">
        <v>4047</v>
      </c>
      <c r="G1661" s="23">
        <v>38246</v>
      </c>
      <c r="H1661" s="22" t="s">
        <v>438</v>
      </c>
      <c r="I1661" s="22" t="s">
        <v>40</v>
      </c>
      <c r="J1661" s="22" t="s">
        <v>37</v>
      </c>
      <c r="K1661" s="10" t="str">
        <f ca="1">DATEDIF('DATA PENDUDUK'!$G1661,TODAY(),"Y")&amp; " TAHUN"</f>
        <v>20 TAHUN</v>
      </c>
      <c r="L1661" s="24" t="s">
        <v>4013</v>
      </c>
    </row>
    <row r="1662" spans="1:12" ht="20.100000000000001" customHeight="1" x14ac:dyDescent="0.25">
      <c r="A1662" s="8">
        <f t="shared" si="25"/>
        <v>1659</v>
      </c>
      <c r="B1662" s="21" t="s">
        <v>4042</v>
      </c>
      <c r="C1662" s="21" t="s">
        <v>4048</v>
      </c>
      <c r="D1662" s="22" t="s">
        <v>4049</v>
      </c>
      <c r="E1662" s="22" t="s">
        <v>671</v>
      </c>
      <c r="F1662" s="22" t="s">
        <v>955</v>
      </c>
      <c r="G1662" s="23">
        <v>39179</v>
      </c>
      <c r="H1662" s="22" t="s">
        <v>438</v>
      </c>
      <c r="I1662" s="22" t="s">
        <v>40</v>
      </c>
      <c r="J1662" s="22" t="s">
        <v>37</v>
      </c>
      <c r="K1662" s="10" t="str">
        <f ca="1">DATEDIF('DATA PENDUDUK'!$G1662,TODAY(),"Y")&amp; " TAHUN"</f>
        <v>18 TAHUN</v>
      </c>
      <c r="L1662" s="24" t="s">
        <v>4013</v>
      </c>
    </row>
    <row r="1663" spans="1:12" ht="20.100000000000001" customHeight="1" x14ac:dyDescent="0.25">
      <c r="A1663" s="8">
        <f t="shared" si="25"/>
        <v>1660</v>
      </c>
      <c r="B1663" s="21" t="s">
        <v>4042</v>
      </c>
      <c r="C1663" s="21" t="s">
        <v>4050</v>
      </c>
      <c r="D1663" s="22" t="s">
        <v>4051</v>
      </c>
      <c r="E1663" s="22" t="s">
        <v>1306</v>
      </c>
      <c r="F1663" s="22" t="s">
        <v>4047</v>
      </c>
      <c r="G1663" s="23">
        <v>40508</v>
      </c>
      <c r="H1663" s="22" t="s">
        <v>438</v>
      </c>
      <c r="I1663" s="22" t="s">
        <v>31</v>
      </c>
      <c r="J1663" s="22" t="s">
        <v>37</v>
      </c>
      <c r="K1663" s="10" t="str">
        <f ca="1">DATEDIF('DATA PENDUDUK'!$G1663,TODAY(),"Y")&amp; " TAHUN"</f>
        <v>14 TAHUN</v>
      </c>
      <c r="L1663" s="24" t="s">
        <v>4013</v>
      </c>
    </row>
    <row r="1664" spans="1:12" ht="20.100000000000001" customHeight="1" x14ac:dyDescent="0.25">
      <c r="A1664" s="8">
        <f t="shared" si="25"/>
        <v>1661</v>
      </c>
      <c r="B1664" s="21" t="s">
        <v>4042</v>
      </c>
      <c r="C1664" s="21" t="s">
        <v>4052</v>
      </c>
      <c r="D1664" s="22" t="s">
        <v>4053</v>
      </c>
      <c r="E1664" s="22" t="s">
        <v>671</v>
      </c>
      <c r="F1664" s="22" t="s">
        <v>4047</v>
      </c>
      <c r="G1664" s="23">
        <v>40508</v>
      </c>
      <c r="H1664" s="22" t="s">
        <v>438</v>
      </c>
      <c r="I1664" s="22" t="s">
        <v>31</v>
      </c>
      <c r="J1664" s="22" t="s">
        <v>37</v>
      </c>
      <c r="K1664" s="10" t="str">
        <f ca="1">DATEDIF('DATA PENDUDUK'!$G1664,TODAY(),"Y")&amp; " TAHUN"</f>
        <v>14 TAHUN</v>
      </c>
      <c r="L1664" s="24" t="s">
        <v>4013</v>
      </c>
    </row>
    <row r="1665" spans="1:12" ht="20.100000000000001" customHeight="1" x14ac:dyDescent="0.25">
      <c r="A1665" s="8">
        <f t="shared" si="25"/>
        <v>1662</v>
      </c>
      <c r="B1665" s="21" t="s">
        <v>4042</v>
      </c>
      <c r="C1665" s="21" t="s">
        <v>4054</v>
      </c>
      <c r="D1665" s="22" t="s">
        <v>4055</v>
      </c>
      <c r="E1665" s="22" t="s">
        <v>671</v>
      </c>
      <c r="F1665" s="22" t="s">
        <v>4047</v>
      </c>
      <c r="G1665" s="23">
        <v>41577</v>
      </c>
      <c r="H1665" s="22" t="s">
        <v>438</v>
      </c>
      <c r="I1665" s="22" t="s">
        <v>31</v>
      </c>
      <c r="J1665" s="22" t="s">
        <v>37</v>
      </c>
      <c r="K1665" s="10" t="str">
        <f ca="1">DATEDIF('DATA PENDUDUK'!$G1665,TODAY(),"Y")&amp; " TAHUN"</f>
        <v>11 TAHUN</v>
      </c>
      <c r="L1665" s="24" t="s">
        <v>4013</v>
      </c>
    </row>
    <row r="1666" spans="1:12" ht="20.100000000000001" customHeight="1" x14ac:dyDescent="0.25">
      <c r="A1666" s="8">
        <f t="shared" si="25"/>
        <v>1663</v>
      </c>
      <c r="B1666" s="21" t="s">
        <v>4042</v>
      </c>
      <c r="C1666" s="21" t="s">
        <v>4056</v>
      </c>
      <c r="D1666" s="22" t="s">
        <v>4057</v>
      </c>
      <c r="E1666" s="22" t="s">
        <v>1306</v>
      </c>
      <c r="F1666" s="22" t="s">
        <v>30</v>
      </c>
      <c r="G1666" s="23">
        <v>42161</v>
      </c>
      <c r="H1666" s="22" t="s">
        <v>438</v>
      </c>
      <c r="I1666" s="22" t="s">
        <v>31</v>
      </c>
      <c r="J1666" s="22" t="s">
        <v>37</v>
      </c>
      <c r="K1666" s="10" t="str">
        <f ca="1">DATEDIF('DATA PENDUDUK'!$G1666,TODAY(),"Y")&amp; " TAHUN"</f>
        <v>10 TAHUN</v>
      </c>
      <c r="L1666" s="24" t="s">
        <v>4013</v>
      </c>
    </row>
    <row r="1667" spans="1:12" ht="20.100000000000001" customHeight="1" x14ac:dyDescent="0.25">
      <c r="A1667" s="8">
        <f t="shared" si="25"/>
        <v>1664</v>
      </c>
      <c r="B1667" s="21" t="s">
        <v>4042</v>
      </c>
      <c r="C1667" s="21" t="s">
        <v>4058</v>
      </c>
      <c r="D1667" s="22" t="s">
        <v>4059</v>
      </c>
      <c r="E1667" s="22" t="s">
        <v>1306</v>
      </c>
      <c r="F1667" s="22" t="s">
        <v>30</v>
      </c>
      <c r="G1667" s="23">
        <v>43781</v>
      </c>
      <c r="H1667" s="22" t="s">
        <v>438</v>
      </c>
      <c r="I1667" s="22" t="s">
        <v>40</v>
      </c>
      <c r="J1667" s="22" t="s">
        <v>37</v>
      </c>
      <c r="K1667" s="10" t="str">
        <f ca="1">DATEDIF('DATA PENDUDUK'!$G1667,TODAY(),"Y")&amp; " TAHUN"</f>
        <v>5 TAHUN</v>
      </c>
      <c r="L1667" s="24" t="s">
        <v>4013</v>
      </c>
    </row>
    <row r="1668" spans="1:12" ht="20.100000000000001" customHeight="1" x14ac:dyDescent="0.25">
      <c r="A1668" s="8">
        <f t="shared" si="25"/>
        <v>1665</v>
      </c>
      <c r="B1668" s="21" t="s">
        <v>4060</v>
      </c>
      <c r="C1668" s="21" t="s">
        <v>4061</v>
      </c>
      <c r="D1668" s="22" t="s">
        <v>4062</v>
      </c>
      <c r="E1668" s="22" t="s">
        <v>1306</v>
      </c>
      <c r="F1668" s="22" t="s">
        <v>989</v>
      </c>
      <c r="G1668" s="23">
        <v>25128</v>
      </c>
      <c r="H1668" s="22" t="s">
        <v>438</v>
      </c>
      <c r="I1668" s="22" t="s">
        <v>26</v>
      </c>
      <c r="J1668" s="22" t="s">
        <v>20</v>
      </c>
      <c r="K1668" s="10" t="str">
        <f ca="1">DATEDIF('DATA PENDUDUK'!$G1668,TODAY(),"Y")&amp; " TAHUN"</f>
        <v>56 TAHUN</v>
      </c>
      <c r="L1668" s="24" t="s">
        <v>4013</v>
      </c>
    </row>
    <row r="1669" spans="1:12" ht="20.100000000000001" customHeight="1" x14ac:dyDescent="0.25">
      <c r="A1669" s="8">
        <f t="shared" si="25"/>
        <v>1666</v>
      </c>
      <c r="B1669" s="21" t="s">
        <v>4060</v>
      </c>
      <c r="C1669" s="21" t="s">
        <v>4063</v>
      </c>
      <c r="D1669" s="22" t="s">
        <v>4064</v>
      </c>
      <c r="E1669" s="22" t="s">
        <v>671</v>
      </c>
      <c r="F1669" s="22" t="s">
        <v>768</v>
      </c>
      <c r="G1669" s="23">
        <v>30617</v>
      </c>
      <c r="H1669" s="22" t="s">
        <v>438</v>
      </c>
      <c r="I1669" s="22" t="s">
        <v>36</v>
      </c>
      <c r="J1669" s="22" t="s">
        <v>32</v>
      </c>
      <c r="K1669" s="10" t="str">
        <f ca="1">DATEDIF('DATA PENDUDUK'!$G1669,TODAY(),"Y")&amp; " TAHUN"</f>
        <v>41 TAHUN</v>
      </c>
      <c r="L1669" s="24" t="s">
        <v>4013</v>
      </c>
    </row>
    <row r="1670" spans="1:12" ht="20.100000000000001" customHeight="1" x14ac:dyDescent="0.25">
      <c r="A1670" s="8">
        <f t="shared" ref="A1670:A1733" si="26">IF(D1670="","",ROW()-3)</f>
        <v>1667</v>
      </c>
      <c r="B1670" s="21" t="s">
        <v>4060</v>
      </c>
      <c r="C1670" s="21" t="s">
        <v>4065</v>
      </c>
      <c r="D1670" s="22" t="s">
        <v>4066</v>
      </c>
      <c r="E1670" s="22" t="s">
        <v>1306</v>
      </c>
      <c r="F1670" s="22" t="s">
        <v>4067</v>
      </c>
      <c r="G1670" s="23">
        <v>33073</v>
      </c>
      <c r="H1670" s="22" t="s">
        <v>438</v>
      </c>
      <c r="I1670" s="22" t="s">
        <v>26</v>
      </c>
      <c r="J1670" s="22" t="s">
        <v>32</v>
      </c>
      <c r="K1670" s="10" t="str">
        <f ca="1">DATEDIF('DATA PENDUDUK'!$G1670,TODAY(),"Y")&amp; " TAHUN"</f>
        <v>35 TAHUN</v>
      </c>
      <c r="L1670" s="24" t="s">
        <v>4013</v>
      </c>
    </row>
    <row r="1671" spans="1:12" ht="20.100000000000001" customHeight="1" x14ac:dyDescent="0.25">
      <c r="A1671" s="8">
        <f t="shared" si="26"/>
        <v>1668</v>
      </c>
      <c r="B1671" s="21" t="s">
        <v>4060</v>
      </c>
      <c r="C1671" s="21" t="s">
        <v>4068</v>
      </c>
      <c r="D1671" s="22" t="s">
        <v>1701</v>
      </c>
      <c r="E1671" s="22" t="s">
        <v>1306</v>
      </c>
      <c r="F1671" s="22" t="s">
        <v>681</v>
      </c>
      <c r="G1671" s="23">
        <v>35052</v>
      </c>
      <c r="H1671" s="22" t="s">
        <v>438</v>
      </c>
      <c r="I1671" s="22" t="s">
        <v>40</v>
      </c>
      <c r="J1671" s="22" t="s">
        <v>32</v>
      </c>
      <c r="K1671" s="10" t="str">
        <f ca="1">DATEDIF('DATA PENDUDUK'!$G1671,TODAY(),"Y")&amp; " TAHUN"</f>
        <v>29 TAHUN</v>
      </c>
      <c r="L1671" s="24" t="s">
        <v>4013</v>
      </c>
    </row>
    <row r="1672" spans="1:12" ht="20.100000000000001" customHeight="1" x14ac:dyDescent="0.25">
      <c r="A1672" s="8">
        <f t="shared" si="26"/>
        <v>1669</v>
      </c>
      <c r="B1672" s="21" t="s">
        <v>4060</v>
      </c>
      <c r="C1672" s="21" t="s">
        <v>4069</v>
      </c>
      <c r="D1672" s="22" t="s">
        <v>4070</v>
      </c>
      <c r="E1672" s="22" t="s">
        <v>671</v>
      </c>
      <c r="F1672" s="22" t="s">
        <v>681</v>
      </c>
      <c r="G1672" s="23">
        <v>36201</v>
      </c>
      <c r="H1672" s="22" t="s">
        <v>438</v>
      </c>
      <c r="I1672" s="22" t="s">
        <v>40</v>
      </c>
      <c r="J1672" s="22" t="s">
        <v>32</v>
      </c>
      <c r="K1672" s="10" t="str">
        <f ca="1">DATEDIF('DATA PENDUDUK'!$G1672,TODAY(),"Y")&amp; " TAHUN"</f>
        <v>26 TAHUN</v>
      </c>
      <c r="L1672" s="24" t="s">
        <v>4013</v>
      </c>
    </row>
    <row r="1673" spans="1:12" ht="20.100000000000001" customHeight="1" x14ac:dyDescent="0.25">
      <c r="A1673" s="8">
        <f t="shared" si="26"/>
        <v>1670</v>
      </c>
      <c r="B1673" s="21" t="s">
        <v>4060</v>
      </c>
      <c r="C1673" s="21" t="s">
        <v>4071</v>
      </c>
      <c r="D1673" s="22" t="s">
        <v>4072</v>
      </c>
      <c r="E1673" s="22" t="s">
        <v>671</v>
      </c>
      <c r="F1673" s="22" t="s">
        <v>681</v>
      </c>
      <c r="G1673" s="23">
        <v>38345</v>
      </c>
      <c r="H1673" s="22" t="s">
        <v>438</v>
      </c>
      <c r="I1673" s="22" t="s">
        <v>40</v>
      </c>
      <c r="J1673" s="22" t="s">
        <v>32</v>
      </c>
      <c r="K1673" s="10" t="str">
        <f ca="1">DATEDIF('DATA PENDUDUK'!$G1673,TODAY(),"Y")&amp; " TAHUN"</f>
        <v>20 TAHUN</v>
      </c>
      <c r="L1673" s="24" t="s">
        <v>4013</v>
      </c>
    </row>
    <row r="1674" spans="1:12" ht="20.100000000000001" customHeight="1" x14ac:dyDescent="0.25">
      <c r="A1674" s="8">
        <f t="shared" si="26"/>
        <v>1671</v>
      </c>
      <c r="B1674" s="21" t="s">
        <v>4060</v>
      </c>
      <c r="C1674" s="21" t="s">
        <v>4073</v>
      </c>
      <c r="D1674" s="22" t="s">
        <v>4074</v>
      </c>
      <c r="E1674" s="22" t="s">
        <v>671</v>
      </c>
      <c r="F1674" s="22" t="s">
        <v>376</v>
      </c>
      <c r="G1674" s="23">
        <v>38737</v>
      </c>
      <c r="H1674" s="22" t="s">
        <v>438</v>
      </c>
      <c r="I1674" s="22" t="s">
        <v>40</v>
      </c>
      <c r="J1674" s="22" t="s">
        <v>32</v>
      </c>
      <c r="K1674" s="10" t="str">
        <f ca="1">DATEDIF('DATA PENDUDUK'!$G1674,TODAY(),"Y")&amp; " TAHUN"</f>
        <v>19 TAHUN</v>
      </c>
      <c r="L1674" s="24" t="s">
        <v>4013</v>
      </c>
    </row>
    <row r="1675" spans="1:12" ht="20.100000000000001" customHeight="1" x14ac:dyDescent="0.25">
      <c r="A1675" s="8">
        <f t="shared" si="26"/>
        <v>1672</v>
      </c>
      <c r="B1675" s="21" t="s">
        <v>4075</v>
      </c>
      <c r="C1675" s="21" t="s">
        <v>4076</v>
      </c>
      <c r="D1675" s="22" t="s">
        <v>4077</v>
      </c>
      <c r="E1675" s="22" t="s">
        <v>1306</v>
      </c>
      <c r="F1675" s="22" t="s">
        <v>2710</v>
      </c>
      <c r="G1675" s="23">
        <v>29069</v>
      </c>
      <c r="H1675" s="22" t="s">
        <v>438</v>
      </c>
      <c r="I1675" s="22" t="s">
        <v>26</v>
      </c>
      <c r="J1675" s="22" t="s">
        <v>20</v>
      </c>
      <c r="K1675" s="10" t="str">
        <f ca="1">DATEDIF('DATA PENDUDUK'!$G1675,TODAY(),"Y")&amp; " TAHUN"</f>
        <v>45 TAHUN</v>
      </c>
      <c r="L1675" s="24" t="s">
        <v>4013</v>
      </c>
    </row>
    <row r="1676" spans="1:12" ht="20.100000000000001" customHeight="1" x14ac:dyDescent="0.25">
      <c r="A1676" s="8">
        <f t="shared" si="26"/>
        <v>1673</v>
      </c>
      <c r="B1676" s="21" t="s">
        <v>4075</v>
      </c>
      <c r="C1676" s="21" t="s">
        <v>4078</v>
      </c>
      <c r="D1676" s="22" t="s">
        <v>4079</v>
      </c>
      <c r="E1676" s="22" t="s">
        <v>1306</v>
      </c>
      <c r="F1676" s="22" t="s">
        <v>30</v>
      </c>
      <c r="G1676" s="23">
        <v>37256</v>
      </c>
      <c r="H1676" s="22" t="s">
        <v>438</v>
      </c>
      <c r="I1676" s="22" t="s">
        <v>40</v>
      </c>
      <c r="J1676" s="22" t="s">
        <v>32</v>
      </c>
      <c r="K1676" s="10" t="str">
        <f ca="1">DATEDIF('DATA PENDUDUK'!$G1676,TODAY(),"Y")&amp; " TAHUN"</f>
        <v>23 TAHUN</v>
      </c>
      <c r="L1676" s="24" t="s">
        <v>4013</v>
      </c>
    </row>
    <row r="1677" spans="1:12" ht="20.100000000000001" customHeight="1" x14ac:dyDescent="0.25">
      <c r="A1677" s="8">
        <f t="shared" si="26"/>
        <v>1674</v>
      </c>
      <c r="B1677" s="21" t="s">
        <v>4075</v>
      </c>
      <c r="C1677" s="21" t="s">
        <v>4080</v>
      </c>
      <c r="D1677" s="22" t="s">
        <v>4081</v>
      </c>
      <c r="E1677" s="22" t="s">
        <v>1306</v>
      </c>
      <c r="F1677" s="22" t="s">
        <v>30</v>
      </c>
      <c r="G1677" s="23">
        <v>37714</v>
      </c>
      <c r="H1677" s="22" t="s">
        <v>438</v>
      </c>
      <c r="I1677" s="22" t="s">
        <v>40</v>
      </c>
      <c r="J1677" s="22" t="s">
        <v>32</v>
      </c>
      <c r="K1677" s="10" t="str">
        <f ca="1">DATEDIF('DATA PENDUDUK'!$G1677,TODAY(),"Y")&amp; " TAHUN"</f>
        <v>22 TAHUN</v>
      </c>
      <c r="L1677" s="24" t="s">
        <v>4013</v>
      </c>
    </row>
    <row r="1678" spans="1:12" ht="20.100000000000001" customHeight="1" x14ac:dyDescent="0.25">
      <c r="A1678" s="8">
        <f t="shared" si="26"/>
        <v>1675</v>
      </c>
      <c r="B1678" s="21" t="s">
        <v>4075</v>
      </c>
      <c r="C1678" s="21" t="s">
        <v>4082</v>
      </c>
      <c r="D1678" s="22" t="s">
        <v>4083</v>
      </c>
      <c r="E1678" s="22" t="s">
        <v>1306</v>
      </c>
      <c r="F1678" s="22" t="s">
        <v>30</v>
      </c>
      <c r="G1678" s="23">
        <v>38698</v>
      </c>
      <c r="H1678" s="22" t="s">
        <v>438</v>
      </c>
      <c r="I1678" s="22" t="s">
        <v>40</v>
      </c>
      <c r="J1678" s="22" t="s">
        <v>32</v>
      </c>
      <c r="K1678" s="10" t="str">
        <f ca="1">DATEDIF('DATA PENDUDUK'!$G1678,TODAY(),"Y")&amp; " TAHUN"</f>
        <v>19 TAHUN</v>
      </c>
      <c r="L1678" s="24" t="s">
        <v>4013</v>
      </c>
    </row>
    <row r="1679" spans="1:12" ht="20.100000000000001" customHeight="1" x14ac:dyDescent="0.25">
      <c r="A1679" s="8">
        <f t="shared" si="26"/>
        <v>1676</v>
      </c>
      <c r="B1679" s="21" t="s">
        <v>4075</v>
      </c>
      <c r="C1679" s="21" t="s">
        <v>4084</v>
      </c>
      <c r="D1679" s="22" t="s">
        <v>4085</v>
      </c>
      <c r="E1679" s="22" t="s">
        <v>671</v>
      </c>
      <c r="F1679" s="22" t="s">
        <v>30</v>
      </c>
      <c r="G1679" s="23">
        <v>39918</v>
      </c>
      <c r="H1679" s="22" t="s">
        <v>438</v>
      </c>
      <c r="I1679" s="22" t="s">
        <v>31</v>
      </c>
      <c r="J1679" s="22" t="s">
        <v>32</v>
      </c>
      <c r="K1679" s="10" t="str">
        <f ca="1">DATEDIF('DATA PENDUDUK'!$G1679,TODAY(),"Y")&amp; " TAHUN"</f>
        <v>16 TAHUN</v>
      </c>
      <c r="L1679" s="24" t="s">
        <v>4013</v>
      </c>
    </row>
    <row r="1680" spans="1:12" ht="20.100000000000001" customHeight="1" x14ac:dyDescent="0.25">
      <c r="A1680" s="8">
        <f t="shared" si="26"/>
        <v>1677</v>
      </c>
      <c r="B1680" s="21" t="s">
        <v>4075</v>
      </c>
      <c r="C1680" s="21" t="s">
        <v>4086</v>
      </c>
      <c r="D1680" s="22" t="s">
        <v>4087</v>
      </c>
      <c r="E1680" s="22" t="s">
        <v>671</v>
      </c>
      <c r="F1680" s="22" t="s">
        <v>30</v>
      </c>
      <c r="G1680" s="23">
        <v>41124</v>
      </c>
      <c r="H1680" s="22" t="s">
        <v>438</v>
      </c>
      <c r="I1680" s="22" t="s">
        <v>31</v>
      </c>
      <c r="J1680" s="22" t="s">
        <v>32</v>
      </c>
      <c r="K1680" s="10" t="str">
        <f ca="1">DATEDIF('DATA PENDUDUK'!$G1680,TODAY(),"Y")&amp; " TAHUN"</f>
        <v>12 TAHUN</v>
      </c>
      <c r="L1680" s="24" t="s">
        <v>4013</v>
      </c>
    </row>
    <row r="1681" spans="1:12" ht="20.100000000000001" customHeight="1" x14ac:dyDescent="0.25">
      <c r="A1681" s="8">
        <f t="shared" si="26"/>
        <v>1678</v>
      </c>
      <c r="B1681" s="21" t="s">
        <v>4075</v>
      </c>
      <c r="C1681" s="21" t="s">
        <v>4088</v>
      </c>
      <c r="D1681" s="22" t="s">
        <v>4089</v>
      </c>
      <c r="E1681" s="22" t="s">
        <v>1306</v>
      </c>
      <c r="F1681" s="22" t="s">
        <v>30</v>
      </c>
      <c r="G1681" s="23">
        <v>42616</v>
      </c>
      <c r="H1681" s="22" t="s">
        <v>438</v>
      </c>
      <c r="I1681" s="22" t="s">
        <v>31</v>
      </c>
      <c r="J1681" s="22" t="s">
        <v>32</v>
      </c>
      <c r="K1681" s="10" t="str">
        <f ca="1">DATEDIF('DATA PENDUDUK'!$G1681,TODAY(),"Y")&amp; " TAHUN"</f>
        <v>8 TAHUN</v>
      </c>
      <c r="L1681" s="24" t="s">
        <v>4013</v>
      </c>
    </row>
    <row r="1682" spans="1:12" ht="20.100000000000001" customHeight="1" x14ac:dyDescent="0.25">
      <c r="A1682" s="8">
        <f t="shared" si="26"/>
        <v>1679</v>
      </c>
      <c r="B1682" s="21" t="s">
        <v>4090</v>
      </c>
      <c r="C1682" s="21" t="s">
        <v>4091</v>
      </c>
      <c r="D1682" s="22" t="s">
        <v>4092</v>
      </c>
      <c r="E1682" s="22" t="s">
        <v>671</v>
      </c>
      <c r="F1682" s="22" t="s">
        <v>863</v>
      </c>
      <c r="G1682" s="23">
        <v>36503</v>
      </c>
      <c r="H1682" s="22" t="s">
        <v>438</v>
      </c>
      <c r="I1682" s="22" t="s">
        <v>40</v>
      </c>
      <c r="J1682" s="22" t="s">
        <v>20</v>
      </c>
      <c r="K1682" s="10" t="str">
        <f ca="1">DATEDIF('DATA PENDUDUK'!$G1682,TODAY(),"Y")&amp; " TAHUN"</f>
        <v>25 TAHUN</v>
      </c>
      <c r="L1682" s="24" t="s">
        <v>4013</v>
      </c>
    </row>
    <row r="1683" spans="1:12" ht="20.100000000000001" customHeight="1" x14ac:dyDescent="0.25">
      <c r="A1683" s="8">
        <f t="shared" si="26"/>
        <v>1680</v>
      </c>
      <c r="B1683" s="21" t="s">
        <v>4090</v>
      </c>
      <c r="C1683" s="21" t="s">
        <v>4093</v>
      </c>
      <c r="D1683" s="22" t="s">
        <v>4094</v>
      </c>
      <c r="E1683" s="22" t="s">
        <v>1306</v>
      </c>
      <c r="F1683" s="22" t="s">
        <v>955</v>
      </c>
      <c r="G1683" s="23">
        <v>34881</v>
      </c>
      <c r="H1683" s="22" t="s">
        <v>438</v>
      </c>
      <c r="I1683" s="22" t="s">
        <v>40</v>
      </c>
      <c r="J1683" s="22" t="s">
        <v>27</v>
      </c>
      <c r="K1683" s="10" t="str">
        <f ca="1">DATEDIF('DATA PENDUDUK'!$G1683,TODAY(),"Y")&amp; " TAHUN"</f>
        <v>30 TAHUN</v>
      </c>
      <c r="L1683" s="24" t="s">
        <v>4013</v>
      </c>
    </row>
    <row r="1684" spans="1:12" ht="20.100000000000001" customHeight="1" x14ac:dyDescent="0.25">
      <c r="A1684" s="8">
        <f t="shared" si="26"/>
        <v>1681</v>
      </c>
      <c r="B1684" s="21" t="s">
        <v>4095</v>
      </c>
      <c r="C1684" s="21" t="s">
        <v>4096</v>
      </c>
      <c r="D1684" s="22" t="s">
        <v>4097</v>
      </c>
      <c r="E1684" s="22" t="s">
        <v>1306</v>
      </c>
      <c r="F1684" s="22" t="s">
        <v>955</v>
      </c>
      <c r="G1684" s="23">
        <v>23750</v>
      </c>
      <c r="H1684" s="22" t="s">
        <v>438</v>
      </c>
      <c r="I1684" s="22" t="s">
        <v>26</v>
      </c>
      <c r="J1684" s="22" t="s">
        <v>20</v>
      </c>
      <c r="K1684" s="10" t="str">
        <f ca="1">DATEDIF('DATA PENDUDUK'!$G1684,TODAY(),"Y")&amp; " TAHUN"</f>
        <v>60 TAHUN</v>
      </c>
      <c r="L1684" s="24" t="s">
        <v>4013</v>
      </c>
    </row>
    <row r="1685" spans="1:12" ht="20.100000000000001" customHeight="1" x14ac:dyDescent="0.25">
      <c r="A1685" s="8">
        <f t="shared" si="26"/>
        <v>1682</v>
      </c>
      <c r="B1685" s="21" t="s">
        <v>4095</v>
      </c>
      <c r="C1685" s="21" t="s">
        <v>4098</v>
      </c>
      <c r="D1685" s="25" t="s">
        <v>4099</v>
      </c>
      <c r="E1685" s="22" t="s">
        <v>1306</v>
      </c>
      <c r="F1685" s="22" t="s">
        <v>955</v>
      </c>
      <c r="G1685" s="23">
        <v>32848</v>
      </c>
      <c r="H1685" s="22" t="s">
        <v>438</v>
      </c>
      <c r="I1685" s="22" t="s">
        <v>40</v>
      </c>
      <c r="J1685" s="22" t="s">
        <v>32</v>
      </c>
      <c r="K1685" s="10" t="str">
        <f ca="1">DATEDIF('DATA PENDUDUK'!$G1685,TODAY(),"Y")&amp; " TAHUN"</f>
        <v>35 TAHUN</v>
      </c>
      <c r="L1685" s="24" t="s">
        <v>4013</v>
      </c>
    </row>
    <row r="1686" spans="1:12" ht="20.100000000000001" customHeight="1" x14ac:dyDescent="0.25">
      <c r="A1686" s="8">
        <f t="shared" si="26"/>
        <v>1683</v>
      </c>
      <c r="B1686" s="21" t="s">
        <v>4100</v>
      </c>
      <c r="C1686" s="21" t="s">
        <v>4101</v>
      </c>
      <c r="D1686" s="22" t="s">
        <v>4102</v>
      </c>
      <c r="E1686" s="22" t="s">
        <v>671</v>
      </c>
      <c r="F1686" s="22" t="s">
        <v>4103</v>
      </c>
      <c r="G1686" s="23">
        <v>21190</v>
      </c>
      <c r="H1686" s="22" t="s">
        <v>438</v>
      </c>
      <c r="I1686" s="22" t="s">
        <v>36</v>
      </c>
      <c r="J1686" s="22" t="s">
        <v>20</v>
      </c>
      <c r="K1686" s="10" t="str">
        <f ca="1">DATEDIF('DATA PENDUDUK'!$G1686,TODAY(),"Y")&amp; " TAHUN"</f>
        <v>67 TAHUN</v>
      </c>
      <c r="L1686" s="24" t="s">
        <v>4013</v>
      </c>
    </row>
    <row r="1687" spans="1:12" ht="20.100000000000001" customHeight="1" x14ac:dyDescent="0.25">
      <c r="A1687" s="8">
        <f t="shared" si="26"/>
        <v>1684</v>
      </c>
      <c r="B1687" s="21" t="s">
        <v>4100</v>
      </c>
      <c r="C1687" s="21" t="s">
        <v>4104</v>
      </c>
      <c r="D1687" s="22" t="s">
        <v>4105</v>
      </c>
      <c r="E1687" s="22" t="s">
        <v>1306</v>
      </c>
      <c r="F1687" s="22" t="s">
        <v>780</v>
      </c>
      <c r="G1687" s="23">
        <v>20248</v>
      </c>
      <c r="H1687" s="22" t="s">
        <v>438</v>
      </c>
      <c r="I1687" s="22" t="s">
        <v>36</v>
      </c>
      <c r="J1687" s="22" t="s">
        <v>27</v>
      </c>
      <c r="K1687" s="10" t="str">
        <f ca="1">DATEDIF('DATA PENDUDUK'!$G1687,TODAY(),"Y")&amp; " TAHUN"</f>
        <v>70 TAHUN</v>
      </c>
      <c r="L1687" s="24" t="s">
        <v>4013</v>
      </c>
    </row>
    <row r="1688" spans="1:12" ht="20.100000000000001" customHeight="1" x14ac:dyDescent="0.25">
      <c r="A1688" s="8">
        <f t="shared" si="26"/>
        <v>1685</v>
      </c>
      <c r="B1688" s="21" t="s">
        <v>4100</v>
      </c>
      <c r="C1688" s="21" t="s">
        <v>4106</v>
      </c>
      <c r="D1688" s="22" t="s">
        <v>4107</v>
      </c>
      <c r="E1688" s="22" t="s">
        <v>671</v>
      </c>
      <c r="F1688" s="22" t="s">
        <v>955</v>
      </c>
      <c r="G1688" s="23">
        <v>30229</v>
      </c>
      <c r="H1688" s="22" t="s">
        <v>438</v>
      </c>
      <c r="I1688" s="22" t="s">
        <v>40</v>
      </c>
      <c r="J1688" s="22" t="s">
        <v>32</v>
      </c>
      <c r="K1688" s="10" t="str">
        <f ca="1">DATEDIF('DATA PENDUDUK'!$G1688,TODAY(),"Y")&amp; " TAHUN"</f>
        <v>42 TAHUN</v>
      </c>
      <c r="L1688" s="24" t="s">
        <v>4013</v>
      </c>
    </row>
    <row r="1689" spans="1:12" ht="20.100000000000001" customHeight="1" x14ac:dyDescent="0.25">
      <c r="A1689" s="8">
        <f t="shared" si="26"/>
        <v>1686</v>
      </c>
      <c r="B1689" s="21" t="s">
        <v>4100</v>
      </c>
      <c r="C1689" s="21" t="s">
        <v>4108</v>
      </c>
      <c r="D1689" s="22" t="s">
        <v>4109</v>
      </c>
      <c r="E1689" s="22" t="s">
        <v>1306</v>
      </c>
      <c r="F1689" s="22" t="s">
        <v>681</v>
      </c>
      <c r="G1689" s="23">
        <v>31264</v>
      </c>
      <c r="H1689" s="22" t="s">
        <v>438</v>
      </c>
      <c r="I1689" s="22" t="s">
        <v>40</v>
      </c>
      <c r="J1689" s="22" t="s">
        <v>32</v>
      </c>
      <c r="K1689" s="10" t="str">
        <f ca="1">DATEDIF('DATA PENDUDUK'!$G1689,TODAY(),"Y")&amp; " TAHUN"</f>
        <v>39 TAHUN</v>
      </c>
      <c r="L1689" s="24" t="s">
        <v>4013</v>
      </c>
    </row>
    <row r="1690" spans="1:12" ht="20.100000000000001" customHeight="1" x14ac:dyDescent="0.25">
      <c r="A1690" s="8">
        <f t="shared" si="26"/>
        <v>1687</v>
      </c>
      <c r="B1690" s="21" t="s">
        <v>4100</v>
      </c>
      <c r="C1690" s="21" t="s">
        <v>4110</v>
      </c>
      <c r="D1690" s="22" t="s">
        <v>4111</v>
      </c>
      <c r="E1690" s="22" t="s">
        <v>1306</v>
      </c>
      <c r="F1690" s="22" t="s">
        <v>681</v>
      </c>
      <c r="G1690" s="23">
        <v>33844</v>
      </c>
      <c r="H1690" s="22" t="s">
        <v>438</v>
      </c>
      <c r="I1690" s="22" t="s">
        <v>40</v>
      </c>
      <c r="J1690" s="22" t="s">
        <v>32</v>
      </c>
      <c r="K1690" s="10" t="str">
        <f ca="1">DATEDIF('DATA PENDUDUK'!$G1690,TODAY(),"Y")&amp; " TAHUN"</f>
        <v>32 TAHUN</v>
      </c>
      <c r="L1690" s="24" t="s">
        <v>4013</v>
      </c>
    </row>
    <row r="1691" spans="1:12" ht="20.100000000000001" customHeight="1" x14ac:dyDescent="0.25">
      <c r="A1691" s="8">
        <f t="shared" si="26"/>
        <v>1688</v>
      </c>
      <c r="B1691" s="21" t="s">
        <v>4112</v>
      </c>
      <c r="C1691" s="21" t="s">
        <v>4113</v>
      </c>
      <c r="D1691" s="22" t="s">
        <v>4114</v>
      </c>
      <c r="E1691" s="22" t="s">
        <v>1306</v>
      </c>
      <c r="F1691" s="22" t="s">
        <v>4115</v>
      </c>
      <c r="G1691" s="23">
        <v>33458</v>
      </c>
      <c r="H1691" s="22" t="s">
        <v>438</v>
      </c>
      <c r="I1691" s="22" t="s">
        <v>40</v>
      </c>
      <c r="J1691" s="22" t="s">
        <v>20</v>
      </c>
      <c r="K1691" s="10" t="str">
        <f ca="1">DATEDIF('DATA PENDUDUK'!$G1691,TODAY(),"Y")&amp; " TAHUN"</f>
        <v>33 TAHUN</v>
      </c>
      <c r="L1691" s="24" t="s">
        <v>4013</v>
      </c>
    </row>
    <row r="1692" spans="1:12" ht="20.100000000000001" customHeight="1" x14ac:dyDescent="0.25">
      <c r="A1692" s="8">
        <f t="shared" si="26"/>
        <v>1689</v>
      </c>
      <c r="B1692" s="21" t="s">
        <v>1006</v>
      </c>
      <c r="C1692" s="21" t="s">
        <v>1007</v>
      </c>
      <c r="D1692" s="22" t="s">
        <v>1103</v>
      </c>
      <c r="E1692" s="22" t="s">
        <v>671</v>
      </c>
      <c r="F1692" s="22" t="s">
        <v>955</v>
      </c>
      <c r="G1692" s="23">
        <v>29051</v>
      </c>
      <c r="H1692" s="22" t="s">
        <v>438</v>
      </c>
      <c r="I1692" s="22" t="s">
        <v>162</v>
      </c>
      <c r="J1692" s="22" t="s">
        <v>20</v>
      </c>
      <c r="K1692" s="10" t="str">
        <f ca="1">DATEDIF('DATA PENDUDUK'!$G1692,TODAY(),"Y")&amp; " TAHUN"</f>
        <v>46 TAHUN</v>
      </c>
      <c r="L1692" s="24" t="s">
        <v>4013</v>
      </c>
    </row>
    <row r="1693" spans="1:12" ht="20.100000000000001" customHeight="1" x14ac:dyDescent="0.25">
      <c r="A1693" s="8">
        <f t="shared" si="26"/>
        <v>1690</v>
      </c>
      <c r="B1693" s="21" t="s">
        <v>1006</v>
      </c>
      <c r="C1693" s="21" t="s">
        <v>1009</v>
      </c>
      <c r="D1693" s="22" t="s">
        <v>1010</v>
      </c>
      <c r="E1693" s="22" t="s">
        <v>1306</v>
      </c>
      <c r="F1693" s="22" t="s">
        <v>863</v>
      </c>
      <c r="G1693" s="23">
        <v>25062</v>
      </c>
      <c r="H1693" s="22" t="s">
        <v>438</v>
      </c>
      <c r="I1693" s="22" t="s">
        <v>26</v>
      </c>
      <c r="J1693" s="22" t="s">
        <v>27</v>
      </c>
      <c r="K1693" s="10" t="str">
        <f ca="1">DATEDIF('DATA PENDUDUK'!$G1693,TODAY(),"Y")&amp; " TAHUN"</f>
        <v>56 TAHUN</v>
      </c>
      <c r="L1693" s="24" t="s">
        <v>4013</v>
      </c>
    </row>
    <row r="1694" spans="1:12" ht="20.100000000000001" customHeight="1" x14ac:dyDescent="0.25">
      <c r="A1694" s="8">
        <f t="shared" si="26"/>
        <v>1691</v>
      </c>
      <c r="B1694" s="21" t="s">
        <v>1006</v>
      </c>
      <c r="C1694" s="21" t="s">
        <v>1011</v>
      </c>
      <c r="D1694" s="22" t="s">
        <v>1012</v>
      </c>
      <c r="E1694" s="22" t="s">
        <v>671</v>
      </c>
      <c r="F1694" s="22" t="s">
        <v>30</v>
      </c>
      <c r="G1694" s="23">
        <v>36872</v>
      </c>
      <c r="H1694" s="22" t="s">
        <v>438</v>
      </c>
      <c r="I1694" s="22" t="s">
        <v>40</v>
      </c>
      <c r="J1694" s="22" t="s">
        <v>32</v>
      </c>
      <c r="K1694" s="10" t="str">
        <f ca="1">DATEDIF('DATA PENDUDUK'!$G1694,TODAY(),"Y")&amp; " TAHUN"</f>
        <v>24 TAHUN</v>
      </c>
      <c r="L1694" s="24" t="s">
        <v>4013</v>
      </c>
    </row>
    <row r="1695" spans="1:12" ht="20.100000000000001" customHeight="1" x14ac:dyDescent="0.25">
      <c r="A1695" s="8">
        <f t="shared" si="26"/>
        <v>1692</v>
      </c>
      <c r="B1695" s="21" t="s">
        <v>1006</v>
      </c>
      <c r="C1695" s="21" t="s">
        <v>1013</v>
      </c>
      <c r="D1695" s="22" t="s">
        <v>1014</v>
      </c>
      <c r="E1695" s="22" t="s">
        <v>1306</v>
      </c>
      <c r="F1695" s="22" t="s">
        <v>30</v>
      </c>
      <c r="G1695" s="23">
        <v>37663</v>
      </c>
      <c r="H1695" s="22" t="s">
        <v>438</v>
      </c>
      <c r="I1695" s="22" t="s">
        <v>40</v>
      </c>
      <c r="J1695" s="22" t="s">
        <v>32</v>
      </c>
      <c r="K1695" s="10" t="str">
        <f ca="1">DATEDIF('DATA PENDUDUK'!$G1695,TODAY(),"Y")&amp; " TAHUN"</f>
        <v>22 TAHUN</v>
      </c>
      <c r="L1695" s="24" t="s">
        <v>4013</v>
      </c>
    </row>
    <row r="1696" spans="1:12" ht="20.100000000000001" customHeight="1" x14ac:dyDescent="0.25">
      <c r="A1696" s="8">
        <f t="shared" si="26"/>
        <v>1693</v>
      </c>
      <c r="B1696" s="21" t="s">
        <v>1006</v>
      </c>
      <c r="C1696" s="21" t="s">
        <v>1015</v>
      </c>
      <c r="D1696" s="22" t="s">
        <v>1016</v>
      </c>
      <c r="E1696" s="22" t="s">
        <v>671</v>
      </c>
      <c r="F1696" s="22" t="s">
        <v>30</v>
      </c>
      <c r="G1696" s="23">
        <v>38870</v>
      </c>
      <c r="H1696" s="22" t="s">
        <v>438</v>
      </c>
      <c r="I1696" s="22" t="s">
        <v>40</v>
      </c>
      <c r="J1696" s="22" t="s">
        <v>32</v>
      </c>
      <c r="K1696" s="10" t="str">
        <f ca="1">DATEDIF('DATA PENDUDUK'!$G1696,TODAY(),"Y")&amp; " TAHUN"</f>
        <v>19 TAHUN</v>
      </c>
      <c r="L1696" s="24" t="s">
        <v>4013</v>
      </c>
    </row>
    <row r="1697" spans="1:12" ht="20.100000000000001" customHeight="1" x14ac:dyDescent="0.25">
      <c r="A1697" s="8">
        <f t="shared" si="26"/>
        <v>1694</v>
      </c>
      <c r="B1697" s="21" t="s">
        <v>1006</v>
      </c>
      <c r="C1697" s="21" t="s">
        <v>1017</v>
      </c>
      <c r="D1697" s="22" t="s">
        <v>4116</v>
      </c>
      <c r="E1697" s="22" t="s">
        <v>1306</v>
      </c>
      <c r="F1697" s="22" t="s">
        <v>30</v>
      </c>
      <c r="G1697" s="23">
        <v>40546</v>
      </c>
      <c r="H1697" s="22" t="s">
        <v>438</v>
      </c>
      <c r="I1697" s="22" t="s">
        <v>31</v>
      </c>
      <c r="J1697" s="22" t="s">
        <v>32</v>
      </c>
      <c r="K1697" s="10" t="str">
        <f ca="1">DATEDIF('DATA PENDUDUK'!$G1697,TODAY(),"Y")&amp; " TAHUN"</f>
        <v>14 TAHUN</v>
      </c>
      <c r="L1697" s="24" t="s">
        <v>4013</v>
      </c>
    </row>
    <row r="1698" spans="1:12" ht="20.100000000000001" customHeight="1" x14ac:dyDescent="0.25">
      <c r="A1698" s="8">
        <f t="shared" si="26"/>
        <v>1695</v>
      </c>
      <c r="B1698" s="21" t="s">
        <v>4117</v>
      </c>
      <c r="C1698" s="21" t="s">
        <v>4118</v>
      </c>
      <c r="D1698" s="22" t="s">
        <v>4119</v>
      </c>
      <c r="E1698" s="22" t="s">
        <v>671</v>
      </c>
      <c r="F1698" s="22" t="s">
        <v>768</v>
      </c>
      <c r="G1698" s="23">
        <v>25376</v>
      </c>
      <c r="H1698" s="22" t="s">
        <v>438</v>
      </c>
      <c r="I1698" s="22" t="s">
        <v>162</v>
      </c>
      <c r="J1698" s="22" t="s">
        <v>20</v>
      </c>
      <c r="K1698" s="10" t="str">
        <f ca="1">DATEDIF('DATA PENDUDUK'!$G1698,TODAY(),"Y")&amp; " TAHUN"</f>
        <v>56 TAHUN</v>
      </c>
      <c r="L1698" s="24" t="s">
        <v>4013</v>
      </c>
    </row>
    <row r="1699" spans="1:12" ht="20.100000000000001" customHeight="1" x14ac:dyDescent="0.25">
      <c r="A1699" s="8">
        <f t="shared" si="26"/>
        <v>1696</v>
      </c>
      <c r="B1699" s="21" t="s">
        <v>4117</v>
      </c>
      <c r="C1699" s="21" t="s">
        <v>4120</v>
      </c>
      <c r="D1699" s="22" t="s">
        <v>4121</v>
      </c>
      <c r="E1699" s="22" t="s">
        <v>1306</v>
      </c>
      <c r="F1699" s="22" t="s">
        <v>1134</v>
      </c>
      <c r="G1699" s="23">
        <v>30297</v>
      </c>
      <c r="H1699" s="22" t="s">
        <v>438</v>
      </c>
      <c r="I1699" s="22" t="s">
        <v>26</v>
      </c>
      <c r="J1699" s="22" t="s">
        <v>27</v>
      </c>
      <c r="K1699" s="10" t="str">
        <f ca="1">DATEDIF('DATA PENDUDUK'!$G1699,TODAY(),"Y")&amp; " TAHUN"</f>
        <v>42 TAHUN</v>
      </c>
      <c r="L1699" s="24" t="s">
        <v>4013</v>
      </c>
    </row>
    <row r="1700" spans="1:12" ht="20.100000000000001" customHeight="1" x14ac:dyDescent="0.25">
      <c r="A1700" s="8">
        <f t="shared" si="26"/>
        <v>1697</v>
      </c>
      <c r="B1700" s="21" t="s">
        <v>4117</v>
      </c>
      <c r="C1700" s="21" t="s">
        <v>4122</v>
      </c>
      <c r="D1700" s="22" t="s">
        <v>4123</v>
      </c>
      <c r="E1700" s="22" t="s">
        <v>1306</v>
      </c>
      <c r="F1700" s="22" t="s">
        <v>376</v>
      </c>
      <c r="G1700" s="23">
        <v>37770</v>
      </c>
      <c r="H1700" s="22" t="s">
        <v>438</v>
      </c>
      <c r="I1700" s="22" t="s">
        <v>40</v>
      </c>
      <c r="J1700" s="22" t="s">
        <v>32</v>
      </c>
      <c r="K1700" s="10" t="str">
        <f ca="1">DATEDIF('DATA PENDUDUK'!$G1700,TODAY(),"Y")&amp; " TAHUN"</f>
        <v>22 TAHUN</v>
      </c>
      <c r="L1700" s="24" t="s">
        <v>4013</v>
      </c>
    </row>
    <row r="1701" spans="1:12" ht="20.100000000000001" customHeight="1" x14ac:dyDescent="0.25">
      <c r="A1701" s="8">
        <f t="shared" si="26"/>
        <v>1698</v>
      </c>
      <c r="B1701" s="21" t="s">
        <v>4117</v>
      </c>
      <c r="C1701" s="21" t="s">
        <v>4124</v>
      </c>
      <c r="D1701" s="22" t="s">
        <v>4125</v>
      </c>
      <c r="E1701" s="22" t="s">
        <v>1306</v>
      </c>
      <c r="F1701" s="22" t="s">
        <v>376</v>
      </c>
      <c r="G1701" s="23">
        <v>38821</v>
      </c>
      <c r="H1701" s="22" t="s">
        <v>438</v>
      </c>
      <c r="I1701" s="22" t="s">
        <v>40</v>
      </c>
      <c r="J1701" s="22" t="s">
        <v>32</v>
      </c>
      <c r="K1701" s="10" t="str">
        <f ca="1">DATEDIF('DATA PENDUDUK'!$G1701,TODAY(),"Y")&amp; " TAHUN"</f>
        <v>19 TAHUN</v>
      </c>
      <c r="L1701" s="24" t="s">
        <v>4013</v>
      </c>
    </row>
    <row r="1702" spans="1:12" ht="20.100000000000001" customHeight="1" x14ac:dyDescent="0.25">
      <c r="A1702" s="8">
        <f t="shared" si="26"/>
        <v>1699</v>
      </c>
      <c r="B1702" s="21" t="s">
        <v>4117</v>
      </c>
      <c r="C1702" s="21" t="s">
        <v>4126</v>
      </c>
      <c r="D1702" s="22" t="s">
        <v>4127</v>
      </c>
      <c r="E1702" s="22" t="s">
        <v>1306</v>
      </c>
      <c r="F1702" s="22" t="s">
        <v>30</v>
      </c>
      <c r="G1702" s="23">
        <v>40431</v>
      </c>
      <c r="H1702" s="22" t="s">
        <v>438</v>
      </c>
      <c r="I1702" s="22" t="s">
        <v>31</v>
      </c>
      <c r="J1702" s="22" t="s">
        <v>32</v>
      </c>
      <c r="K1702" s="10" t="str">
        <f ca="1">DATEDIF('DATA PENDUDUK'!$G1702,TODAY(),"Y")&amp; " TAHUN"</f>
        <v>14 TAHUN</v>
      </c>
      <c r="L1702" s="24" t="s">
        <v>4013</v>
      </c>
    </row>
    <row r="1703" spans="1:12" ht="20.100000000000001" customHeight="1" x14ac:dyDescent="0.25">
      <c r="A1703" s="8">
        <f t="shared" si="26"/>
        <v>1700</v>
      </c>
      <c r="B1703" s="21" t="s">
        <v>4117</v>
      </c>
      <c r="C1703" s="21" t="s">
        <v>4128</v>
      </c>
      <c r="D1703" s="22" t="s">
        <v>4129</v>
      </c>
      <c r="E1703" s="22" t="s">
        <v>671</v>
      </c>
      <c r="F1703" s="22" t="s">
        <v>1073</v>
      </c>
      <c r="G1703" s="23">
        <v>32730</v>
      </c>
      <c r="H1703" s="22" t="s">
        <v>438</v>
      </c>
      <c r="I1703" s="22" t="s">
        <v>36</v>
      </c>
      <c r="J1703" s="22" t="s">
        <v>37</v>
      </c>
      <c r="K1703" s="10" t="str">
        <f ca="1">DATEDIF('DATA PENDUDUK'!$G1703,TODAY(),"Y")&amp; " TAHUN"</f>
        <v>35 TAHUN</v>
      </c>
      <c r="L1703" s="24" t="s">
        <v>4013</v>
      </c>
    </row>
    <row r="1704" spans="1:12" ht="20.100000000000001" customHeight="1" x14ac:dyDescent="0.25">
      <c r="A1704" s="8">
        <f t="shared" si="26"/>
        <v>1701</v>
      </c>
      <c r="B1704" s="21" t="s">
        <v>4130</v>
      </c>
      <c r="C1704" s="21" t="s">
        <v>4131</v>
      </c>
      <c r="D1704" s="22" t="s">
        <v>4132</v>
      </c>
      <c r="E1704" s="22" t="s">
        <v>671</v>
      </c>
      <c r="F1704" s="22" t="s">
        <v>681</v>
      </c>
      <c r="G1704" s="23">
        <v>34443</v>
      </c>
      <c r="H1704" s="22" t="s">
        <v>438</v>
      </c>
      <c r="I1704" s="22" t="s">
        <v>40</v>
      </c>
      <c r="J1704" s="22" t="s">
        <v>20</v>
      </c>
      <c r="K1704" s="10" t="str">
        <f ca="1">DATEDIF('DATA PENDUDUK'!$G1704,TODAY(),"Y")&amp; " TAHUN"</f>
        <v>31 TAHUN</v>
      </c>
      <c r="L1704" s="24" t="s">
        <v>4013</v>
      </c>
    </row>
    <row r="1705" spans="1:12" ht="20.100000000000001" customHeight="1" x14ac:dyDescent="0.25">
      <c r="A1705" s="8">
        <f t="shared" si="26"/>
        <v>1702</v>
      </c>
      <c r="B1705" s="21" t="s">
        <v>4130</v>
      </c>
      <c r="C1705" s="21" t="s">
        <v>4133</v>
      </c>
      <c r="D1705" s="22" t="s">
        <v>4134</v>
      </c>
      <c r="E1705" s="22" t="s">
        <v>1306</v>
      </c>
      <c r="F1705" s="22" t="s">
        <v>3837</v>
      </c>
      <c r="G1705" s="23">
        <v>35984</v>
      </c>
      <c r="H1705" s="22" t="s">
        <v>438</v>
      </c>
      <c r="I1705" s="22" t="s">
        <v>26</v>
      </c>
      <c r="J1705" s="22" t="s">
        <v>27</v>
      </c>
      <c r="K1705" s="10" t="str">
        <f ca="1">DATEDIF('DATA PENDUDUK'!$G1705,TODAY(),"Y")&amp; " TAHUN"</f>
        <v>27 TAHUN</v>
      </c>
      <c r="L1705" s="24" t="s">
        <v>4013</v>
      </c>
    </row>
    <row r="1706" spans="1:12" ht="20.100000000000001" customHeight="1" x14ac:dyDescent="0.25">
      <c r="A1706" s="8">
        <f t="shared" si="26"/>
        <v>1703</v>
      </c>
      <c r="B1706" s="21" t="s">
        <v>4130</v>
      </c>
      <c r="C1706" s="21" t="s">
        <v>4135</v>
      </c>
      <c r="D1706" s="22" t="s">
        <v>4136</v>
      </c>
      <c r="E1706" s="22" t="s">
        <v>671</v>
      </c>
      <c r="F1706" s="22" t="s">
        <v>681</v>
      </c>
      <c r="G1706" s="23">
        <v>39211</v>
      </c>
      <c r="H1706" s="26" t="s">
        <v>438</v>
      </c>
      <c r="I1706" s="22" t="s">
        <v>40</v>
      </c>
      <c r="J1706" s="22" t="s">
        <v>32</v>
      </c>
      <c r="K1706" s="10" t="str">
        <f ca="1">DATEDIF('DATA PENDUDUK'!$G1706,TODAY(),"Y")&amp; " TAHUN"</f>
        <v>18 TAHUN</v>
      </c>
      <c r="L1706" s="24" t="s">
        <v>4013</v>
      </c>
    </row>
    <row r="1707" spans="1:12" ht="20.100000000000001" customHeight="1" x14ac:dyDescent="0.25">
      <c r="A1707" s="8">
        <f t="shared" si="26"/>
        <v>1704</v>
      </c>
      <c r="B1707" s="21" t="s">
        <v>4130</v>
      </c>
      <c r="C1707" s="21" t="s">
        <v>4137</v>
      </c>
      <c r="D1707" s="22" t="s">
        <v>4138</v>
      </c>
      <c r="E1707" s="22" t="s">
        <v>671</v>
      </c>
      <c r="F1707" s="22" t="s">
        <v>742</v>
      </c>
      <c r="G1707" s="23">
        <v>42998</v>
      </c>
      <c r="H1707" s="22" t="s">
        <v>438</v>
      </c>
      <c r="I1707" s="22" t="s">
        <v>40</v>
      </c>
      <c r="J1707" s="22" t="s">
        <v>32</v>
      </c>
      <c r="K1707" s="10" t="str">
        <f ca="1">DATEDIF('DATA PENDUDUK'!$G1707,TODAY(),"Y")&amp; " TAHUN"</f>
        <v>7 TAHUN</v>
      </c>
      <c r="L1707" s="24" t="s">
        <v>4013</v>
      </c>
    </row>
    <row r="1708" spans="1:12" ht="20.100000000000001" customHeight="1" x14ac:dyDescent="0.25">
      <c r="A1708" s="8">
        <f t="shared" si="26"/>
        <v>1705</v>
      </c>
      <c r="B1708" s="21" t="s">
        <v>4130</v>
      </c>
      <c r="C1708" s="21" t="s">
        <v>4139</v>
      </c>
      <c r="D1708" s="22" t="s">
        <v>4140</v>
      </c>
      <c r="E1708" s="22" t="s">
        <v>1306</v>
      </c>
      <c r="F1708" s="22" t="s">
        <v>742</v>
      </c>
      <c r="G1708" s="23">
        <v>43475</v>
      </c>
      <c r="H1708" s="22" t="s">
        <v>438</v>
      </c>
      <c r="I1708" s="22" t="s">
        <v>40</v>
      </c>
      <c r="J1708" s="22" t="s">
        <v>32</v>
      </c>
      <c r="K1708" s="10" t="str">
        <f ca="1">DATEDIF('DATA PENDUDUK'!$G1708,TODAY(),"Y")&amp; " TAHUN"</f>
        <v>6 TAHUN</v>
      </c>
      <c r="L1708" s="24" t="s">
        <v>4013</v>
      </c>
    </row>
    <row r="1709" spans="1:12" ht="20.100000000000001" customHeight="1" x14ac:dyDescent="0.25">
      <c r="A1709" s="8">
        <f t="shared" si="26"/>
        <v>1706</v>
      </c>
      <c r="B1709" s="21" t="s">
        <v>4141</v>
      </c>
      <c r="C1709" s="21" t="s">
        <v>4142</v>
      </c>
      <c r="D1709" s="22" t="s">
        <v>4143</v>
      </c>
      <c r="E1709" s="22" t="s">
        <v>671</v>
      </c>
      <c r="F1709" s="22" t="s">
        <v>955</v>
      </c>
      <c r="G1709" s="23">
        <v>33105</v>
      </c>
      <c r="H1709" s="22" t="s">
        <v>438</v>
      </c>
      <c r="I1709" s="22" t="s">
        <v>73</v>
      </c>
      <c r="J1709" s="22" t="s">
        <v>20</v>
      </c>
      <c r="K1709" s="10" t="str">
        <f ca="1">DATEDIF('DATA PENDUDUK'!$G1709,TODAY(),"Y")&amp; " TAHUN"</f>
        <v>34 TAHUN</v>
      </c>
      <c r="L1709" s="24" t="s">
        <v>4013</v>
      </c>
    </row>
    <row r="1710" spans="1:12" ht="20.100000000000001" customHeight="1" x14ac:dyDescent="0.25">
      <c r="A1710" s="8">
        <f t="shared" si="26"/>
        <v>1707</v>
      </c>
      <c r="B1710" s="21" t="s">
        <v>4141</v>
      </c>
      <c r="C1710" s="21" t="s">
        <v>4144</v>
      </c>
      <c r="D1710" s="22" t="s">
        <v>4145</v>
      </c>
      <c r="E1710" s="22" t="s">
        <v>1306</v>
      </c>
      <c r="F1710" s="22" t="s">
        <v>681</v>
      </c>
      <c r="G1710" s="23">
        <v>34430</v>
      </c>
      <c r="H1710" s="22" t="s">
        <v>438</v>
      </c>
      <c r="I1710" s="22" t="s">
        <v>26</v>
      </c>
      <c r="J1710" s="22" t="s">
        <v>27</v>
      </c>
      <c r="K1710" s="10" t="str">
        <f ca="1">DATEDIF('DATA PENDUDUK'!$G1710,TODAY(),"Y")&amp; " TAHUN"</f>
        <v>31 TAHUN</v>
      </c>
      <c r="L1710" s="24" t="s">
        <v>4013</v>
      </c>
    </row>
    <row r="1711" spans="1:12" ht="20.100000000000001" customHeight="1" x14ac:dyDescent="0.25">
      <c r="A1711" s="8">
        <f t="shared" si="26"/>
        <v>1708</v>
      </c>
      <c r="B1711" s="21" t="s">
        <v>4141</v>
      </c>
      <c r="C1711" s="21" t="s">
        <v>4146</v>
      </c>
      <c r="D1711" s="22" t="s">
        <v>4147</v>
      </c>
      <c r="E1711" s="22" t="s">
        <v>671</v>
      </c>
      <c r="F1711" s="22" t="s">
        <v>30</v>
      </c>
      <c r="G1711" s="23">
        <v>41908</v>
      </c>
      <c r="H1711" s="22" t="s">
        <v>438</v>
      </c>
      <c r="I1711" s="22" t="s">
        <v>31</v>
      </c>
      <c r="J1711" s="22" t="s">
        <v>32</v>
      </c>
      <c r="K1711" s="10" t="str">
        <f ca="1">DATEDIF('DATA PENDUDUK'!$G1711,TODAY(),"Y")&amp; " TAHUN"</f>
        <v>10 TAHUN</v>
      </c>
      <c r="L1711" s="24" t="s">
        <v>4013</v>
      </c>
    </row>
    <row r="1712" spans="1:12" ht="20.100000000000001" customHeight="1" x14ac:dyDescent="0.25">
      <c r="A1712" s="8">
        <f t="shared" si="26"/>
        <v>1709</v>
      </c>
      <c r="B1712" s="21" t="s">
        <v>4148</v>
      </c>
      <c r="C1712" s="21" t="s">
        <v>4149</v>
      </c>
      <c r="D1712" s="22" t="s">
        <v>4150</v>
      </c>
      <c r="E1712" s="22" t="s">
        <v>671</v>
      </c>
      <c r="F1712" s="22" t="s">
        <v>780</v>
      </c>
      <c r="G1712" s="23">
        <v>31805</v>
      </c>
      <c r="H1712" s="22" t="s">
        <v>438</v>
      </c>
      <c r="I1712" s="22" t="s">
        <v>36</v>
      </c>
      <c r="J1712" s="22" t="s">
        <v>20</v>
      </c>
      <c r="K1712" s="10" t="str">
        <f ca="1">DATEDIF('DATA PENDUDUK'!$G1712,TODAY(),"Y")&amp; " TAHUN"</f>
        <v>38 TAHUN</v>
      </c>
      <c r="L1712" s="24" t="s">
        <v>4013</v>
      </c>
    </row>
    <row r="1713" spans="1:12" ht="20.100000000000001" customHeight="1" x14ac:dyDescent="0.25">
      <c r="A1713" s="8">
        <f t="shared" si="26"/>
        <v>1710</v>
      </c>
      <c r="B1713" s="21" t="s">
        <v>4148</v>
      </c>
      <c r="C1713" s="21" t="s">
        <v>4151</v>
      </c>
      <c r="D1713" s="22" t="s">
        <v>4152</v>
      </c>
      <c r="E1713" s="22" t="s">
        <v>1306</v>
      </c>
      <c r="F1713" s="22" t="s">
        <v>4153</v>
      </c>
      <c r="G1713" s="23">
        <v>32640</v>
      </c>
      <c r="H1713" s="22" t="s">
        <v>438</v>
      </c>
      <c r="I1713" s="22" t="s">
        <v>36</v>
      </c>
      <c r="J1713" s="22" t="s">
        <v>27</v>
      </c>
      <c r="K1713" s="10" t="str">
        <f ca="1">DATEDIF('DATA PENDUDUK'!$G1713,TODAY(),"Y")&amp; " TAHUN"</f>
        <v>36 TAHUN</v>
      </c>
      <c r="L1713" s="24" t="s">
        <v>4013</v>
      </c>
    </row>
    <row r="1714" spans="1:12" ht="20.100000000000001" customHeight="1" x14ac:dyDescent="0.25">
      <c r="A1714" s="8">
        <f t="shared" si="26"/>
        <v>1711</v>
      </c>
      <c r="B1714" s="21" t="s">
        <v>4148</v>
      </c>
      <c r="C1714" s="21" t="s">
        <v>4154</v>
      </c>
      <c r="D1714" s="22" t="s">
        <v>4155</v>
      </c>
      <c r="E1714" s="22" t="s">
        <v>671</v>
      </c>
      <c r="F1714" s="22" t="s">
        <v>30</v>
      </c>
      <c r="G1714" s="23">
        <v>40580</v>
      </c>
      <c r="H1714" s="22" t="s">
        <v>438</v>
      </c>
      <c r="I1714" s="22" t="s">
        <v>31</v>
      </c>
      <c r="J1714" s="22" t="s">
        <v>32</v>
      </c>
      <c r="K1714" s="10" t="str">
        <f ca="1">DATEDIF('DATA PENDUDUK'!$G1714,TODAY(),"Y")&amp; " TAHUN"</f>
        <v>14 TAHUN</v>
      </c>
      <c r="L1714" s="24" t="s">
        <v>4013</v>
      </c>
    </row>
    <row r="1715" spans="1:12" ht="20.100000000000001" customHeight="1" x14ac:dyDescent="0.25">
      <c r="A1715" s="8">
        <f t="shared" si="26"/>
        <v>1712</v>
      </c>
      <c r="B1715" s="21" t="s">
        <v>4148</v>
      </c>
      <c r="C1715" s="21" t="s">
        <v>4156</v>
      </c>
      <c r="D1715" s="22" t="s">
        <v>4157</v>
      </c>
      <c r="E1715" s="22" t="s">
        <v>1306</v>
      </c>
      <c r="F1715" s="22" t="s">
        <v>780</v>
      </c>
      <c r="G1715" s="23">
        <v>33662</v>
      </c>
      <c r="H1715" s="22" t="s">
        <v>438</v>
      </c>
      <c r="I1715" s="22" t="s">
        <v>36</v>
      </c>
      <c r="J1715" s="22" t="s">
        <v>37</v>
      </c>
      <c r="K1715" s="10" t="str">
        <f ca="1">DATEDIF('DATA PENDUDUK'!$G1715,TODAY(),"Y")&amp; " TAHUN"</f>
        <v>33 TAHUN</v>
      </c>
      <c r="L1715" s="24" t="s">
        <v>4013</v>
      </c>
    </row>
    <row r="1716" spans="1:12" ht="20.100000000000001" customHeight="1" x14ac:dyDescent="0.25">
      <c r="A1716" s="8">
        <f t="shared" si="26"/>
        <v>1713</v>
      </c>
      <c r="B1716" s="21" t="s">
        <v>4158</v>
      </c>
      <c r="C1716" s="21" t="s">
        <v>4159</v>
      </c>
      <c r="D1716" s="22" t="s">
        <v>4107</v>
      </c>
      <c r="E1716" s="22" t="s">
        <v>671</v>
      </c>
      <c r="F1716" s="22" t="s">
        <v>955</v>
      </c>
      <c r="G1716" s="23">
        <v>31637</v>
      </c>
      <c r="H1716" s="22" t="s">
        <v>438</v>
      </c>
      <c r="I1716" s="22" t="s">
        <v>19</v>
      </c>
      <c r="J1716" s="22" t="s">
        <v>20</v>
      </c>
      <c r="K1716" s="10" t="str">
        <f ca="1">DATEDIF('DATA PENDUDUK'!$G1716,TODAY(),"Y")&amp; " TAHUN"</f>
        <v>38 TAHUN</v>
      </c>
      <c r="L1716" s="24" t="s">
        <v>4013</v>
      </c>
    </row>
    <row r="1717" spans="1:12" ht="20.100000000000001" customHeight="1" x14ac:dyDescent="0.25">
      <c r="A1717" s="8">
        <f t="shared" si="26"/>
        <v>1714</v>
      </c>
      <c r="B1717" s="21" t="s">
        <v>4158</v>
      </c>
      <c r="C1717" s="21" t="s">
        <v>4160</v>
      </c>
      <c r="D1717" s="22" t="s">
        <v>4161</v>
      </c>
      <c r="E1717" s="22" t="s">
        <v>1306</v>
      </c>
      <c r="F1717" s="22" t="s">
        <v>955</v>
      </c>
      <c r="G1717" s="23">
        <v>32527</v>
      </c>
      <c r="H1717" s="22" t="s">
        <v>438</v>
      </c>
      <c r="I1717" s="22" t="s">
        <v>26</v>
      </c>
      <c r="J1717" s="22" t="s">
        <v>27</v>
      </c>
      <c r="K1717" s="10" t="str">
        <f ca="1">DATEDIF('DATA PENDUDUK'!$G1717,TODAY(),"Y")&amp; " TAHUN"</f>
        <v>36 TAHUN</v>
      </c>
      <c r="L1717" s="24" t="s">
        <v>4013</v>
      </c>
    </row>
    <row r="1718" spans="1:12" ht="20.100000000000001" customHeight="1" x14ac:dyDescent="0.25">
      <c r="A1718" s="8">
        <f t="shared" si="26"/>
        <v>1715</v>
      </c>
      <c r="B1718" s="21" t="s">
        <v>4158</v>
      </c>
      <c r="C1718" s="21" t="s">
        <v>4162</v>
      </c>
      <c r="D1718" s="22" t="s">
        <v>4163</v>
      </c>
      <c r="E1718" s="22" t="s">
        <v>1306</v>
      </c>
      <c r="F1718" s="22" t="s">
        <v>30</v>
      </c>
      <c r="G1718" s="23">
        <v>43463</v>
      </c>
      <c r="H1718" s="22" t="s">
        <v>438</v>
      </c>
      <c r="I1718" s="22" t="s">
        <v>40</v>
      </c>
      <c r="J1718" s="22" t="s">
        <v>32</v>
      </c>
      <c r="K1718" s="10" t="str">
        <f ca="1">DATEDIF('DATA PENDUDUK'!$G1718,TODAY(),"Y")&amp; " TAHUN"</f>
        <v>6 TAHUN</v>
      </c>
      <c r="L1718" s="24" t="s">
        <v>4013</v>
      </c>
    </row>
    <row r="1719" spans="1:12" ht="20.100000000000001" customHeight="1" x14ac:dyDescent="0.25">
      <c r="A1719" s="8">
        <f t="shared" si="26"/>
        <v>1716</v>
      </c>
      <c r="B1719" s="21" t="s">
        <v>4164</v>
      </c>
      <c r="C1719" s="21" t="s">
        <v>4165</v>
      </c>
      <c r="D1719" s="22" t="s">
        <v>4166</v>
      </c>
      <c r="E1719" s="22" t="s">
        <v>671</v>
      </c>
      <c r="F1719" s="22" t="s">
        <v>4167</v>
      </c>
      <c r="G1719" s="23">
        <v>31670</v>
      </c>
      <c r="H1719" s="22" t="s">
        <v>438</v>
      </c>
      <c r="I1719" s="22" t="s">
        <v>162</v>
      </c>
      <c r="J1719" s="22" t="s">
        <v>20</v>
      </c>
      <c r="K1719" s="10" t="str">
        <f ca="1">DATEDIF('DATA PENDUDUK'!$G1719,TODAY(),"Y")&amp; " TAHUN"</f>
        <v>38 TAHUN</v>
      </c>
      <c r="L1719" s="24" t="s">
        <v>4013</v>
      </c>
    </row>
    <row r="1720" spans="1:12" ht="20.100000000000001" customHeight="1" x14ac:dyDescent="0.25">
      <c r="A1720" s="8">
        <f t="shared" si="26"/>
        <v>1717</v>
      </c>
      <c r="B1720" s="21" t="s">
        <v>4164</v>
      </c>
      <c r="C1720" s="21" t="s">
        <v>4168</v>
      </c>
      <c r="D1720" s="22" t="s">
        <v>4169</v>
      </c>
      <c r="E1720" s="22" t="s">
        <v>1306</v>
      </c>
      <c r="F1720" s="22" t="s">
        <v>955</v>
      </c>
      <c r="G1720" s="23">
        <v>35342</v>
      </c>
      <c r="H1720" s="22" t="s">
        <v>438</v>
      </c>
      <c r="I1720" s="22" t="s">
        <v>26</v>
      </c>
      <c r="J1720" s="22" t="s">
        <v>27</v>
      </c>
      <c r="K1720" s="10" t="str">
        <f ca="1">DATEDIF('DATA PENDUDUK'!$G1720,TODAY(),"Y")&amp; " TAHUN"</f>
        <v>28 TAHUN</v>
      </c>
      <c r="L1720" s="24" t="s">
        <v>4013</v>
      </c>
    </row>
    <row r="1721" spans="1:12" ht="20.100000000000001" customHeight="1" x14ac:dyDescent="0.25">
      <c r="A1721" s="8">
        <f t="shared" si="26"/>
        <v>1718</v>
      </c>
      <c r="B1721" s="21" t="s">
        <v>4164</v>
      </c>
      <c r="C1721" s="21" t="s">
        <v>4170</v>
      </c>
      <c r="D1721" s="22" t="s">
        <v>4171</v>
      </c>
      <c r="E1721" s="22" t="s">
        <v>671</v>
      </c>
      <c r="F1721" s="22" t="s">
        <v>30</v>
      </c>
      <c r="G1721" s="23">
        <v>40932</v>
      </c>
      <c r="H1721" s="22" t="s">
        <v>438</v>
      </c>
      <c r="I1721" s="22" t="s">
        <v>31</v>
      </c>
      <c r="J1721" s="22" t="s">
        <v>32</v>
      </c>
      <c r="K1721" s="10" t="str">
        <f ca="1">DATEDIF('DATA PENDUDUK'!$G1721,TODAY(),"Y")&amp; " TAHUN"</f>
        <v>13 TAHUN</v>
      </c>
      <c r="L1721" s="24" t="s">
        <v>4013</v>
      </c>
    </row>
    <row r="1722" spans="1:12" ht="20.100000000000001" customHeight="1" x14ac:dyDescent="0.25">
      <c r="A1722" s="8">
        <f t="shared" si="26"/>
        <v>1719</v>
      </c>
      <c r="B1722" s="21" t="s">
        <v>4164</v>
      </c>
      <c r="C1722" s="21" t="s">
        <v>4172</v>
      </c>
      <c r="D1722" s="22" t="s">
        <v>4173</v>
      </c>
      <c r="E1722" s="22" t="s">
        <v>671</v>
      </c>
      <c r="F1722" s="22" t="s">
        <v>30</v>
      </c>
      <c r="G1722" s="23">
        <v>41563</v>
      </c>
      <c r="H1722" s="22" t="s">
        <v>438</v>
      </c>
      <c r="I1722" s="22" t="s">
        <v>31</v>
      </c>
      <c r="J1722" s="22" t="s">
        <v>32</v>
      </c>
      <c r="K1722" s="10" t="str">
        <f ca="1">DATEDIF('DATA PENDUDUK'!$G1722,TODAY(),"Y")&amp; " TAHUN"</f>
        <v>11 TAHUN</v>
      </c>
      <c r="L1722" s="24" t="s">
        <v>4013</v>
      </c>
    </row>
    <row r="1723" spans="1:12" ht="20.100000000000001" customHeight="1" x14ac:dyDescent="0.25">
      <c r="A1723" s="8">
        <f t="shared" si="26"/>
        <v>1720</v>
      </c>
      <c r="B1723" s="21" t="s">
        <v>4174</v>
      </c>
      <c r="C1723" s="21" t="s">
        <v>4175</v>
      </c>
      <c r="D1723" s="22" t="s">
        <v>4176</v>
      </c>
      <c r="E1723" s="22" t="s">
        <v>1306</v>
      </c>
      <c r="F1723" s="22" t="s">
        <v>30</v>
      </c>
      <c r="G1723" s="23">
        <v>35918</v>
      </c>
      <c r="H1723" s="22" t="s">
        <v>438</v>
      </c>
      <c r="I1723" s="22" t="s">
        <v>40</v>
      </c>
      <c r="J1723" s="22" t="s">
        <v>20</v>
      </c>
      <c r="K1723" s="10" t="str">
        <f ca="1">DATEDIF('DATA PENDUDUK'!$G1723,TODAY(),"Y")&amp; " TAHUN"</f>
        <v>27 TAHUN</v>
      </c>
      <c r="L1723" s="24" t="s">
        <v>4013</v>
      </c>
    </row>
    <row r="1724" spans="1:12" ht="20.100000000000001" customHeight="1" x14ac:dyDescent="0.25">
      <c r="A1724" s="8">
        <f t="shared" si="26"/>
        <v>1721</v>
      </c>
      <c r="B1724" s="21" t="s">
        <v>4174</v>
      </c>
      <c r="C1724" s="21" t="s">
        <v>4177</v>
      </c>
      <c r="D1724" s="22" t="s">
        <v>4178</v>
      </c>
      <c r="E1724" s="22" t="s">
        <v>1306</v>
      </c>
      <c r="F1724" s="22" t="s">
        <v>30</v>
      </c>
      <c r="G1724" s="23">
        <v>36290</v>
      </c>
      <c r="H1724" s="22" t="s">
        <v>438</v>
      </c>
      <c r="I1724" s="22" t="s">
        <v>40</v>
      </c>
      <c r="J1724" s="22" t="s">
        <v>37</v>
      </c>
      <c r="K1724" s="10" t="str">
        <f ca="1">DATEDIF('DATA PENDUDUK'!$G1724,TODAY(),"Y")&amp; " TAHUN"</f>
        <v>26 TAHUN</v>
      </c>
      <c r="L1724" s="24" t="s">
        <v>4013</v>
      </c>
    </row>
    <row r="1725" spans="1:12" ht="20.100000000000001" customHeight="1" x14ac:dyDescent="0.25">
      <c r="A1725" s="8">
        <f t="shared" si="26"/>
        <v>1722</v>
      </c>
      <c r="B1725" s="21" t="s">
        <v>4174</v>
      </c>
      <c r="C1725" s="21" t="s">
        <v>3899</v>
      </c>
      <c r="D1725" s="22" t="s">
        <v>3900</v>
      </c>
      <c r="E1725" s="22" t="s">
        <v>1306</v>
      </c>
      <c r="F1725" s="22" t="s">
        <v>30</v>
      </c>
      <c r="G1725" s="23">
        <v>37805</v>
      </c>
      <c r="H1725" s="22" t="s">
        <v>438</v>
      </c>
      <c r="I1725" s="22" t="s">
        <v>40</v>
      </c>
      <c r="J1725" s="22" t="s">
        <v>37</v>
      </c>
      <c r="K1725" s="10" t="str">
        <f ca="1">DATEDIF('DATA PENDUDUK'!$G1725,TODAY(),"Y")&amp; " TAHUN"</f>
        <v>22 TAHUN</v>
      </c>
      <c r="L1725" s="24" t="s">
        <v>4013</v>
      </c>
    </row>
    <row r="1726" spans="1:12" ht="20.100000000000001" customHeight="1" x14ac:dyDescent="0.25">
      <c r="A1726" s="8">
        <f t="shared" si="26"/>
        <v>1723</v>
      </c>
      <c r="B1726" s="21" t="s">
        <v>4179</v>
      </c>
      <c r="C1726" s="21" t="s">
        <v>4180</v>
      </c>
      <c r="D1726" s="22" t="s">
        <v>4181</v>
      </c>
      <c r="E1726" s="22" t="s">
        <v>671</v>
      </c>
      <c r="F1726" s="22" t="s">
        <v>780</v>
      </c>
      <c r="G1726" s="23">
        <v>33589</v>
      </c>
      <c r="H1726" s="22" t="s">
        <v>438</v>
      </c>
      <c r="I1726" s="22" t="s">
        <v>19</v>
      </c>
      <c r="J1726" s="22" t="s">
        <v>20</v>
      </c>
      <c r="K1726" s="10" t="str">
        <f ca="1">DATEDIF('DATA PENDUDUK'!$G1726,TODAY(),"Y")&amp; " TAHUN"</f>
        <v>33 TAHUN</v>
      </c>
      <c r="L1726" s="24" t="s">
        <v>4013</v>
      </c>
    </row>
    <row r="1727" spans="1:12" ht="20.100000000000001" customHeight="1" x14ac:dyDescent="0.25">
      <c r="A1727" s="8">
        <f t="shared" si="26"/>
        <v>1724</v>
      </c>
      <c r="B1727" s="21" t="s">
        <v>4179</v>
      </c>
      <c r="C1727" s="21" t="s">
        <v>4182</v>
      </c>
      <c r="D1727" s="22" t="s">
        <v>4183</v>
      </c>
      <c r="E1727" s="22" t="s">
        <v>1306</v>
      </c>
      <c r="F1727" s="22" t="s">
        <v>681</v>
      </c>
      <c r="G1727" s="23">
        <v>34371</v>
      </c>
      <c r="H1727" s="22" t="s">
        <v>438</v>
      </c>
      <c r="I1727" s="22" t="s">
        <v>26</v>
      </c>
      <c r="J1727" s="22" t="s">
        <v>27</v>
      </c>
      <c r="K1727" s="10" t="str">
        <f ca="1">DATEDIF('DATA PENDUDUK'!$G1727,TODAY(),"Y")&amp; " TAHUN"</f>
        <v>31 TAHUN</v>
      </c>
      <c r="L1727" s="24" t="s">
        <v>4013</v>
      </c>
    </row>
    <row r="1728" spans="1:12" ht="20.100000000000001" customHeight="1" x14ac:dyDescent="0.25">
      <c r="A1728" s="8">
        <f t="shared" si="26"/>
        <v>1725</v>
      </c>
      <c r="B1728" s="21" t="s">
        <v>4179</v>
      </c>
      <c r="C1728" s="21" t="s">
        <v>4184</v>
      </c>
      <c r="D1728" s="22" t="s">
        <v>4185</v>
      </c>
      <c r="E1728" s="22" t="s">
        <v>1306</v>
      </c>
      <c r="F1728" s="22" t="s">
        <v>30</v>
      </c>
      <c r="G1728" s="23">
        <v>41609</v>
      </c>
      <c r="H1728" s="22" t="s">
        <v>438</v>
      </c>
      <c r="I1728" s="22" t="s">
        <v>31</v>
      </c>
      <c r="J1728" s="22" t="s">
        <v>32</v>
      </c>
      <c r="K1728" s="10" t="str">
        <f ca="1">DATEDIF('DATA PENDUDUK'!$G1728,TODAY(),"Y")&amp; " TAHUN"</f>
        <v>11 TAHUN</v>
      </c>
      <c r="L1728" s="24" t="s">
        <v>4013</v>
      </c>
    </row>
    <row r="1729" spans="1:12" ht="20.100000000000001" customHeight="1" x14ac:dyDescent="0.25">
      <c r="A1729" s="8">
        <f t="shared" si="26"/>
        <v>1726</v>
      </c>
      <c r="B1729" s="21" t="s">
        <v>4179</v>
      </c>
      <c r="C1729" s="21" t="s">
        <v>4186</v>
      </c>
      <c r="D1729" s="22" t="s">
        <v>4187</v>
      </c>
      <c r="E1729" s="22" t="s">
        <v>671</v>
      </c>
      <c r="F1729" s="22" t="s">
        <v>30</v>
      </c>
      <c r="G1729" s="23">
        <v>42244</v>
      </c>
      <c r="H1729" s="22" t="s">
        <v>438</v>
      </c>
      <c r="I1729" s="22" t="s">
        <v>31</v>
      </c>
      <c r="J1729" s="22" t="s">
        <v>32</v>
      </c>
      <c r="K1729" s="10" t="str">
        <f ca="1">DATEDIF('DATA PENDUDUK'!$G1729,TODAY(),"Y")&amp; " TAHUN"</f>
        <v>9 TAHUN</v>
      </c>
      <c r="L1729" s="24" t="s">
        <v>4013</v>
      </c>
    </row>
    <row r="1730" spans="1:12" ht="20.100000000000001" customHeight="1" x14ac:dyDescent="0.25">
      <c r="A1730" s="8">
        <f t="shared" si="26"/>
        <v>1727</v>
      </c>
      <c r="B1730" s="21" t="s">
        <v>4188</v>
      </c>
      <c r="C1730" s="21" t="s">
        <v>4189</v>
      </c>
      <c r="D1730" s="22" t="s">
        <v>4190</v>
      </c>
      <c r="E1730" s="22" t="s">
        <v>671</v>
      </c>
      <c r="F1730" s="22" t="s">
        <v>955</v>
      </c>
      <c r="G1730" s="23">
        <v>27800</v>
      </c>
      <c r="H1730" s="22" t="s">
        <v>438</v>
      </c>
      <c r="I1730" s="22" t="s">
        <v>162</v>
      </c>
      <c r="J1730" s="22" t="s">
        <v>20</v>
      </c>
      <c r="K1730" s="10" t="str">
        <f ca="1">DATEDIF('DATA PENDUDUK'!$G1730,TODAY(),"Y")&amp; " TAHUN"</f>
        <v>49 TAHUN</v>
      </c>
      <c r="L1730" s="24" t="s">
        <v>4013</v>
      </c>
    </row>
    <row r="1731" spans="1:12" ht="20.100000000000001" customHeight="1" x14ac:dyDescent="0.25">
      <c r="A1731" s="8">
        <f t="shared" si="26"/>
        <v>1728</v>
      </c>
      <c r="B1731" s="21" t="s">
        <v>4188</v>
      </c>
      <c r="C1731" s="21" t="s">
        <v>4191</v>
      </c>
      <c r="D1731" s="25" t="s">
        <v>1560</v>
      </c>
      <c r="E1731" s="22" t="s">
        <v>1306</v>
      </c>
      <c r="F1731" s="22" t="s">
        <v>866</v>
      </c>
      <c r="G1731" s="23">
        <v>30900</v>
      </c>
      <c r="H1731" s="22" t="s">
        <v>438</v>
      </c>
      <c r="I1731" s="22" t="s">
        <v>26</v>
      </c>
      <c r="J1731" s="22" t="s">
        <v>27</v>
      </c>
      <c r="K1731" s="10" t="str">
        <f ca="1">DATEDIF('DATA PENDUDUK'!$G1731,TODAY(),"Y")&amp; " TAHUN"</f>
        <v>40 TAHUN</v>
      </c>
      <c r="L1731" s="24" t="s">
        <v>4013</v>
      </c>
    </row>
    <row r="1732" spans="1:12" ht="20.100000000000001" customHeight="1" x14ac:dyDescent="0.25">
      <c r="A1732" s="8">
        <f t="shared" si="26"/>
        <v>1729</v>
      </c>
      <c r="B1732" s="21" t="s">
        <v>4188</v>
      </c>
      <c r="C1732" s="21" t="s">
        <v>4192</v>
      </c>
      <c r="D1732" s="22" t="s">
        <v>4193</v>
      </c>
      <c r="E1732" s="22" t="s">
        <v>1306</v>
      </c>
      <c r="F1732" s="22" t="s">
        <v>30</v>
      </c>
      <c r="G1732" s="23">
        <v>39102</v>
      </c>
      <c r="H1732" s="22" t="s">
        <v>438</v>
      </c>
      <c r="I1732" s="22" t="s">
        <v>40</v>
      </c>
      <c r="J1732" s="22" t="s">
        <v>32</v>
      </c>
      <c r="K1732" s="10" t="str">
        <f ca="1">DATEDIF('DATA PENDUDUK'!$G1732,TODAY(),"Y")&amp; " TAHUN"</f>
        <v>18 TAHUN</v>
      </c>
      <c r="L1732" s="24" t="s">
        <v>4013</v>
      </c>
    </row>
    <row r="1733" spans="1:12" ht="20.100000000000001" customHeight="1" x14ac:dyDescent="0.25">
      <c r="A1733" s="8">
        <f t="shared" si="26"/>
        <v>1730</v>
      </c>
      <c r="B1733" s="21" t="s">
        <v>4188</v>
      </c>
      <c r="C1733" s="21" t="s">
        <v>4194</v>
      </c>
      <c r="D1733" s="22" t="s">
        <v>4195</v>
      </c>
      <c r="E1733" s="22" t="s">
        <v>1306</v>
      </c>
      <c r="F1733" s="22" t="s">
        <v>30</v>
      </c>
      <c r="G1733" s="23">
        <v>39858</v>
      </c>
      <c r="H1733" s="22" t="s">
        <v>438</v>
      </c>
      <c r="I1733" s="22" t="s">
        <v>31</v>
      </c>
      <c r="J1733" s="22" t="s">
        <v>32</v>
      </c>
      <c r="K1733" s="10" t="str">
        <f ca="1">DATEDIF('DATA PENDUDUK'!$G1733,TODAY(),"Y")&amp; " TAHUN"</f>
        <v>16 TAHUN</v>
      </c>
      <c r="L1733" s="24" t="s">
        <v>4013</v>
      </c>
    </row>
    <row r="1734" spans="1:12" ht="20.100000000000001" customHeight="1" x14ac:dyDescent="0.25">
      <c r="A1734" s="8">
        <f t="shared" ref="A1734:A1797" si="27">IF(D1734="","",ROW()-3)</f>
        <v>1731</v>
      </c>
      <c r="B1734" s="21" t="s">
        <v>4188</v>
      </c>
      <c r="C1734" s="21" t="s">
        <v>4196</v>
      </c>
      <c r="D1734" s="22" t="s">
        <v>4197</v>
      </c>
      <c r="E1734" s="22" t="s">
        <v>671</v>
      </c>
      <c r="F1734" s="22" t="s">
        <v>30</v>
      </c>
      <c r="G1734" s="23">
        <v>40407</v>
      </c>
      <c r="H1734" s="22" t="s">
        <v>438</v>
      </c>
      <c r="I1734" s="22" t="s">
        <v>31</v>
      </c>
      <c r="J1734" s="22" t="s">
        <v>32</v>
      </c>
      <c r="K1734" s="10" t="str">
        <f ca="1">DATEDIF('DATA PENDUDUK'!$G1734,TODAY(),"Y")&amp; " TAHUN"</f>
        <v>14 TAHUN</v>
      </c>
      <c r="L1734" s="24" t="s">
        <v>4013</v>
      </c>
    </row>
    <row r="1735" spans="1:12" ht="20.100000000000001" customHeight="1" x14ac:dyDescent="0.25">
      <c r="A1735" s="8">
        <f t="shared" si="27"/>
        <v>1732</v>
      </c>
      <c r="B1735" s="21" t="s">
        <v>4188</v>
      </c>
      <c r="C1735" s="21" t="s">
        <v>4198</v>
      </c>
      <c r="D1735" s="22" t="s">
        <v>4199</v>
      </c>
      <c r="E1735" s="22" t="s">
        <v>1306</v>
      </c>
      <c r="F1735" s="22" t="s">
        <v>30</v>
      </c>
      <c r="G1735" s="23">
        <v>41258</v>
      </c>
      <c r="H1735" s="22" t="s">
        <v>438</v>
      </c>
      <c r="I1735" s="22" t="s">
        <v>31</v>
      </c>
      <c r="J1735" s="22" t="s">
        <v>32</v>
      </c>
      <c r="K1735" s="10" t="str">
        <f ca="1">DATEDIF('DATA PENDUDUK'!$G1735,TODAY(),"Y")&amp; " TAHUN"</f>
        <v>12 TAHUN</v>
      </c>
      <c r="L1735" s="24" t="s">
        <v>4013</v>
      </c>
    </row>
    <row r="1736" spans="1:12" ht="20.100000000000001" customHeight="1" x14ac:dyDescent="0.25">
      <c r="A1736" s="8">
        <f t="shared" si="27"/>
        <v>1733</v>
      </c>
      <c r="B1736" s="21" t="s">
        <v>4188</v>
      </c>
      <c r="C1736" s="21" t="s">
        <v>4200</v>
      </c>
      <c r="D1736" s="22" t="s">
        <v>4201</v>
      </c>
      <c r="E1736" s="22" t="s">
        <v>671</v>
      </c>
      <c r="F1736" s="22" t="s">
        <v>30</v>
      </c>
      <c r="G1736" s="23">
        <v>42615</v>
      </c>
      <c r="H1736" s="22" t="s">
        <v>438</v>
      </c>
      <c r="I1736" s="22" t="s">
        <v>31</v>
      </c>
      <c r="J1736" s="22" t="s">
        <v>32</v>
      </c>
      <c r="K1736" s="10" t="str">
        <f ca="1">DATEDIF('DATA PENDUDUK'!$G1736,TODAY(),"Y")&amp; " TAHUN"</f>
        <v>8 TAHUN</v>
      </c>
      <c r="L1736" s="24" t="s">
        <v>4013</v>
      </c>
    </row>
    <row r="1737" spans="1:12" ht="20.100000000000001" customHeight="1" x14ac:dyDescent="0.25">
      <c r="A1737" s="8">
        <f t="shared" si="27"/>
        <v>1734</v>
      </c>
      <c r="B1737" s="21" t="s">
        <v>4188</v>
      </c>
      <c r="C1737" s="21" t="s">
        <v>4202</v>
      </c>
      <c r="D1737" s="22" t="s">
        <v>4203</v>
      </c>
      <c r="E1737" s="22" t="s">
        <v>671</v>
      </c>
      <c r="F1737" s="22" t="s">
        <v>30</v>
      </c>
      <c r="G1737" s="23">
        <v>43618</v>
      </c>
      <c r="H1737" s="22" t="s">
        <v>438</v>
      </c>
      <c r="I1737" s="22" t="s">
        <v>40</v>
      </c>
      <c r="J1737" s="22" t="s">
        <v>32</v>
      </c>
      <c r="K1737" s="10" t="str">
        <f ca="1">DATEDIF('DATA PENDUDUK'!$G1737,TODAY(),"Y")&amp; " TAHUN"</f>
        <v>6 TAHUN</v>
      </c>
      <c r="L1737" s="24" t="s">
        <v>4013</v>
      </c>
    </row>
    <row r="1738" spans="1:12" ht="20.100000000000001" customHeight="1" x14ac:dyDescent="0.25">
      <c r="A1738" s="8">
        <f t="shared" si="27"/>
        <v>1735</v>
      </c>
      <c r="B1738" s="21" t="s">
        <v>4204</v>
      </c>
      <c r="C1738" s="21" t="s">
        <v>4205</v>
      </c>
      <c r="D1738" s="22" t="s">
        <v>4206</v>
      </c>
      <c r="E1738" s="22" t="s">
        <v>671</v>
      </c>
      <c r="F1738" s="22" t="s">
        <v>1212</v>
      </c>
      <c r="G1738" s="23">
        <v>32221</v>
      </c>
      <c r="H1738" s="22" t="s">
        <v>438</v>
      </c>
      <c r="I1738" s="22" t="s">
        <v>4207</v>
      </c>
      <c r="J1738" s="22" t="s">
        <v>20</v>
      </c>
      <c r="K1738" s="10" t="str">
        <f ca="1">DATEDIF('DATA PENDUDUK'!$G1738,TODAY(),"Y")&amp; " TAHUN"</f>
        <v>37 TAHUN</v>
      </c>
      <c r="L1738" s="24" t="s">
        <v>4013</v>
      </c>
    </row>
    <row r="1739" spans="1:12" ht="20.100000000000001" customHeight="1" x14ac:dyDescent="0.25">
      <c r="A1739" s="8">
        <f t="shared" si="27"/>
        <v>1736</v>
      </c>
      <c r="B1739" s="21" t="s">
        <v>4204</v>
      </c>
      <c r="C1739" s="21" t="s">
        <v>4208</v>
      </c>
      <c r="D1739" s="22" t="s">
        <v>4209</v>
      </c>
      <c r="E1739" s="22" t="s">
        <v>1306</v>
      </c>
      <c r="F1739" s="22" t="s">
        <v>681</v>
      </c>
      <c r="G1739" s="23">
        <v>34694</v>
      </c>
      <c r="H1739" s="22" t="s">
        <v>438</v>
      </c>
      <c r="I1739" s="22" t="s">
        <v>26</v>
      </c>
      <c r="J1739" s="22" t="s">
        <v>27</v>
      </c>
      <c r="K1739" s="10" t="str">
        <f ca="1">DATEDIF('DATA PENDUDUK'!$G1739,TODAY(),"Y")&amp; " TAHUN"</f>
        <v>30 TAHUN</v>
      </c>
      <c r="L1739" s="24" t="s">
        <v>4013</v>
      </c>
    </row>
    <row r="1740" spans="1:12" ht="20.100000000000001" customHeight="1" x14ac:dyDescent="0.25">
      <c r="A1740" s="8">
        <f t="shared" si="27"/>
        <v>1737</v>
      </c>
      <c r="B1740" s="21" t="s">
        <v>4204</v>
      </c>
      <c r="C1740" s="21" t="s">
        <v>4210</v>
      </c>
      <c r="D1740" s="22" t="s">
        <v>4211</v>
      </c>
      <c r="E1740" s="22" t="s">
        <v>671</v>
      </c>
      <c r="F1740" s="22" t="s">
        <v>30</v>
      </c>
      <c r="G1740" s="23">
        <v>41294</v>
      </c>
      <c r="H1740" s="22" t="s">
        <v>438</v>
      </c>
      <c r="I1740" s="22" t="s">
        <v>31</v>
      </c>
      <c r="J1740" s="22" t="s">
        <v>32</v>
      </c>
      <c r="K1740" s="10" t="str">
        <f ca="1">DATEDIF('DATA PENDUDUK'!$G1740,TODAY(),"Y")&amp; " TAHUN"</f>
        <v>12 TAHUN</v>
      </c>
      <c r="L1740" s="24" t="s">
        <v>4013</v>
      </c>
    </row>
    <row r="1741" spans="1:12" ht="20.100000000000001" customHeight="1" x14ac:dyDescent="0.25">
      <c r="A1741" s="8">
        <f t="shared" si="27"/>
        <v>1738</v>
      </c>
      <c r="B1741" s="21" t="s">
        <v>4212</v>
      </c>
      <c r="C1741" s="21" t="s">
        <v>4213</v>
      </c>
      <c r="D1741" s="22" t="s">
        <v>4214</v>
      </c>
      <c r="E1741" s="22" t="s">
        <v>671</v>
      </c>
      <c r="F1741" s="22" t="s">
        <v>955</v>
      </c>
      <c r="G1741" s="23">
        <v>27166</v>
      </c>
      <c r="H1741" s="22" t="s">
        <v>438</v>
      </c>
      <c r="I1741" s="22" t="s">
        <v>747</v>
      </c>
      <c r="J1741" s="22" t="s">
        <v>20</v>
      </c>
      <c r="K1741" s="10" t="str">
        <f ca="1">DATEDIF('DATA PENDUDUK'!$G1741,TODAY(),"Y")&amp; " TAHUN"</f>
        <v>51 TAHUN</v>
      </c>
      <c r="L1741" s="24" t="s">
        <v>4013</v>
      </c>
    </row>
    <row r="1742" spans="1:12" ht="20.100000000000001" customHeight="1" x14ac:dyDescent="0.25">
      <c r="A1742" s="8">
        <f t="shared" si="27"/>
        <v>1739</v>
      </c>
      <c r="B1742" s="21" t="s">
        <v>4212</v>
      </c>
      <c r="C1742" s="21" t="s">
        <v>4215</v>
      </c>
      <c r="D1742" s="22" t="s">
        <v>4216</v>
      </c>
      <c r="E1742" s="22" t="s">
        <v>1306</v>
      </c>
      <c r="F1742" s="22" t="s">
        <v>1116</v>
      </c>
      <c r="G1742" s="23">
        <v>32298</v>
      </c>
      <c r="H1742" s="22" t="s">
        <v>438</v>
      </c>
      <c r="I1742" s="22" t="s">
        <v>26</v>
      </c>
      <c r="J1742" s="22" t="s">
        <v>27</v>
      </c>
      <c r="K1742" s="10" t="str">
        <f ca="1">DATEDIF('DATA PENDUDUK'!$G1742,TODAY(),"Y")&amp; " TAHUN"</f>
        <v>37 TAHUN</v>
      </c>
      <c r="L1742" s="24" t="s">
        <v>4013</v>
      </c>
    </row>
    <row r="1743" spans="1:12" ht="20.100000000000001" customHeight="1" x14ac:dyDescent="0.25">
      <c r="A1743" s="8">
        <f t="shared" si="27"/>
        <v>1740</v>
      </c>
      <c r="B1743" s="21" t="s">
        <v>4212</v>
      </c>
      <c r="C1743" s="21" t="s">
        <v>4217</v>
      </c>
      <c r="D1743" s="25" t="s">
        <v>4218</v>
      </c>
      <c r="E1743" s="22" t="s">
        <v>671</v>
      </c>
      <c r="F1743" s="22" t="s">
        <v>30</v>
      </c>
      <c r="G1743" s="23">
        <v>43276</v>
      </c>
      <c r="H1743" s="22" t="s">
        <v>438</v>
      </c>
      <c r="I1743" s="22" t="s">
        <v>40</v>
      </c>
      <c r="J1743" s="22" t="s">
        <v>32</v>
      </c>
      <c r="K1743" s="10" t="str">
        <f ca="1">DATEDIF('DATA PENDUDUK'!$G1743,TODAY(),"Y")&amp; " TAHUN"</f>
        <v>7 TAHUN</v>
      </c>
      <c r="L1743" s="24" t="s">
        <v>4013</v>
      </c>
    </row>
    <row r="1744" spans="1:12" ht="20.100000000000001" customHeight="1" x14ac:dyDescent="0.25">
      <c r="A1744" s="8">
        <f t="shared" si="27"/>
        <v>1741</v>
      </c>
      <c r="B1744" s="21" t="s">
        <v>4212</v>
      </c>
      <c r="C1744" s="21" t="s">
        <v>4219</v>
      </c>
      <c r="D1744" s="22" t="s">
        <v>4220</v>
      </c>
      <c r="E1744" s="22" t="s">
        <v>671</v>
      </c>
      <c r="F1744" s="22" t="s">
        <v>134</v>
      </c>
      <c r="G1744" s="23">
        <v>32622</v>
      </c>
      <c r="H1744" s="22" t="s">
        <v>438</v>
      </c>
      <c r="I1744" s="22" t="s">
        <v>19</v>
      </c>
      <c r="J1744" s="22" t="s">
        <v>37</v>
      </c>
      <c r="K1744" s="10" t="str">
        <f ca="1">DATEDIF('DATA PENDUDUK'!$G1744,TODAY(),"Y")&amp; " TAHUN"</f>
        <v>36 TAHUN</v>
      </c>
      <c r="L1744" s="24" t="s">
        <v>4013</v>
      </c>
    </row>
    <row r="1745" spans="1:12" ht="20.100000000000001" customHeight="1" x14ac:dyDescent="0.25">
      <c r="A1745" s="8">
        <f t="shared" si="27"/>
        <v>1742</v>
      </c>
      <c r="B1745" s="21" t="s">
        <v>4212</v>
      </c>
      <c r="C1745" s="21" t="s">
        <v>4221</v>
      </c>
      <c r="D1745" s="22" t="s">
        <v>4222</v>
      </c>
      <c r="E1745" s="22" t="s">
        <v>1306</v>
      </c>
      <c r="F1745" s="22" t="s">
        <v>4103</v>
      </c>
      <c r="G1745" s="23">
        <v>32702</v>
      </c>
      <c r="H1745" s="22" t="s">
        <v>438</v>
      </c>
      <c r="I1745" s="22" t="s">
        <v>26</v>
      </c>
      <c r="J1745" s="22" t="s">
        <v>37</v>
      </c>
      <c r="K1745" s="10" t="str">
        <f ca="1">DATEDIF('DATA PENDUDUK'!$G1745,TODAY(),"Y")&amp; " TAHUN"</f>
        <v>36 TAHUN</v>
      </c>
      <c r="L1745" s="24" t="s">
        <v>4013</v>
      </c>
    </row>
    <row r="1746" spans="1:12" ht="20.100000000000001" customHeight="1" x14ac:dyDescent="0.25">
      <c r="A1746" s="8">
        <f t="shared" si="27"/>
        <v>1743</v>
      </c>
      <c r="B1746" s="21" t="s">
        <v>4212</v>
      </c>
      <c r="C1746" s="21" t="s">
        <v>4223</v>
      </c>
      <c r="D1746" s="22" t="s">
        <v>4224</v>
      </c>
      <c r="E1746" s="22" t="s">
        <v>671</v>
      </c>
      <c r="F1746" s="22" t="s">
        <v>4225</v>
      </c>
      <c r="G1746" s="23">
        <v>33090</v>
      </c>
      <c r="H1746" s="22" t="s">
        <v>438</v>
      </c>
      <c r="I1746" s="22" t="s">
        <v>40</v>
      </c>
      <c r="J1746" s="22" t="s">
        <v>37</v>
      </c>
      <c r="K1746" s="10" t="str">
        <f ca="1">DATEDIF('DATA PENDUDUK'!$G1746,TODAY(),"Y")&amp; " TAHUN"</f>
        <v>34 TAHUN</v>
      </c>
      <c r="L1746" s="24" t="s">
        <v>4013</v>
      </c>
    </row>
    <row r="1747" spans="1:12" ht="20.100000000000001" customHeight="1" x14ac:dyDescent="0.25">
      <c r="A1747" s="8">
        <f t="shared" si="27"/>
        <v>1744</v>
      </c>
      <c r="B1747" s="21" t="s">
        <v>4212</v>
      </c>
      <c r="C1747" s="21" t="s">
        <v>4226</v>
      </c>
      <c r="D1747" s="22" t="s">
        <v>4227</v>
      </c>
      <c r="E1747" s="22" t="s">
        <v>671</v>
      </c>
      <c r="F1747" s="22" t="s">
        <v>4167</v>
      </c>
      <c r="G1747" s="23">
        <v>33394</v>
      </c>
      <c r="H1747" s="22" t="s">
        <v>438</v>
      </c>
      <c r="I1747" s="22" t="s">
        <v>36</v>
      </c>
      <c r="J1747" s="22" t="s">
        <v>37</v>
      </c>
      <c r="K1747" s="10" t="str">
        <f ca="1">DATEDIF('DATA PENDUDUK'!$G1747,TODAY(),"Y")&amp; " TAHUN"</f>
        <v>34 TAHUN</v>
      </c>
      <c r="L1747" s="24" t="s">
        <v>4013</v>
      </c>
    </row>
    <row r="1748" spans="1:12" ht="20.100000000000001" customHeight="1" x14ac:dyDescent="0.25">
      <c r="A1748" s="8">
        <f t="shared" si="27"/>
        <v>1745</v>
      </c>
      <c r="B1748" s="21" t="s">
        <v>4212</v>
      </c>
      <c r="C1748" s="21" t="s">
        <v>4228</v>
      </c>
      <c r="D1748" s="22" t="s">
        <v>4229</v>
      </c>
      <c r="E1748" s="22" t="s">
        <v>671</v>
      </c>
      <c r="F1748" s="22" t="s">
        <v>863</v>
      </c>
      <c r="G1748" s="23">
        <v>33842</v>
      </c>
      <c r="H1748" s="22" t="s">
        <v>438</v>
      </c>
      <c r="I1748" s="22" t="s">
        <v>40</v>
      </c>
      <c r="J1748" s="22" t="s">
        <v>37</v>
      </c>
      <c r="K1748" s="10" t="str">
        <f ca="1">DATEDIF('DATA PENDUDUK'!$G1748,TODAY(),"Y")&amp; " TAHUN"</f>
        <v>32 TAHUN</v>
      </c>
      <c r="L1748" s="24" t="s">
        <v>4013</v>
      </c>
    </row>
    <row r="1749" spans="1:12" ht="20.100000000000001" customHeight="1" x14ac:dyDescent="0.25">
      <c r="A1749" s="8">
        <f t="shared" si="27"/>
        <v>1746</v>
      </c>
      <c r="B1749" s="21" t="s">
        <v>4230</v>
      </c>
      <c r="C1749" s="21" t="s">
        <v>4231</v>
      </c>
      <c r="D1749" s="22" t="s">
        <v>4232</v>
      </c>
      <c r="E1749" s="22" t="s">
        <v>671</v>
      </c>
      <c r="F1749" s="22" t="s">
        <v>955</v>
      </c>
      <c r="G1749" s="23">
        <v>25788</v>
      </c>
      <c r="H1749" s="22" t="s">
        <v>438</v>
      </c>
      <c r="I1749" s="22" t="s">
        <v>162</v>
      </c>
      <c r="J1749" s="22" t="s">
        <v>20</v>
      </c>
      <c r="K1749" s="10" t="str">
        <f ca="1">DATEDIF('DATA PENDUDUK'!$G1749,TODAY(),"Y")&amp; " TAHUN"</f>
        <v>54 TAHUN</v>
      </c>
      <c r="L1749" s="24" t="s">
        <v>4013</v>
      </c>
    </row>
    <row r="1750" spans="1:12" ht="20.100000000000001" customHeight="1" x14ac:dyDescent="0.25">
      <c r="A1750" s="8">
        <f t="shared" si="27"/>
        <v>1747</v>
      </c>
      <c r="B1750" s="21" t="s">
        <v>4230</v>
      </c>
      <c r="C1750" s="21" t="s">
        <v>4233</v>
      </c>
      <c r="D1750" s="22" t="s">
        <v>4234</v>
      </c>
      <c r="E1750" s="22" t="s">
        <v>1306</v>
      </c>
      <c r="F1750" s="22" t="s">
        <v>780</v>
      </c>
      <c r="G1750" s="23">
        <v>27560</v>
      </c>
      <c r="H1750" s="22" t="s">
        <v>438</v>
      </c>
      <c r="I1750" s="22" t="s">
        <v>26</v>
      </c>
      <c r="J1750" s="22" t="s">
        <v>27</v>
      </c>
      <c r="K1750" s="10" t="str">
        <f ca="1">DATEDIF('DATA PENDUDUK'!$G1750,TODAY(),"Y")&amp; " TAHUN"</f>
        <v>50 TAHUN</v>
      </c>
      <c r="L1750" s="24" t="s">
        <v>4013</v>
      </c>
    </row>
    <row r="1751" spans="1:12" ht="20.100000000000001" customHeight="1" x14ac:dyDescent="0.25">
      <c r="A1751" s="8">
        <f t="shared" si="27"/>
        <v>1748</v>
      </c>
      <c r="B1751" s="21" t="s">
        <v>4230</v>
      </c>
      <c r="C1751" s="21" t="s">
        <v>4235</v>
      </c>
      <c r="D1751" s="22" t="s">
        <v>4236</v>
      </c>
      <c r="E1751" s="22" t="s">
        <v>1306</v>
      </c>
      <c r="F1751" s="22" t="s">
        <v>30</v>
      </c>
      <c r="G1751" s="23">
        <v>35735</v>
      </c>
      <c r="H1751" s="22" t="s">
        <v>438</v>
      </c>
      <c r="I1751" s="22" t="s">
        <v>40</v>
      </c>
      <c r="J1751" s="22" t="s">
        <v>32</v>
      </c>
      <c r="K1751" s="10" t="str">
        <f ca="1">DATEDIF('DATA PENDUDUK'!$G1751,TODAY(),"Y")&amp; " TAHUN"</f>
        <v>27 TAHUN</v>
      </c>
      <c r="L1751" s="24" t="s">
        <v>4013</v>
      </c>
    </row>
    <row r="1752" spans="1:12" ht="20.100000000000001" customHeight="1" x14ac:dyDescent="0.25">
      <c r="A1752" s="8">
        <f t="shared" si="27"/>
        <v>1749</v>
      </c>
      <c r="B1752" s="21" t="s">
        <v>4230</v>
      </c>
      <c r="C1752" s="21" t="s">
        <v>4237</v>
      </c>
      <c r="D1752" s="22" t="s">
        <v>4238</v>
      </c>
      <c r="E1752" s="22" t="s">
        <v>671</v>
      </c>
      <c r="F1752" s="22" t="s">
        <v>780</v>
      </c>
      <c r="G1752" s="23">
        <v>38201</v>
      </c>
      <c r="H1752" s="22" t="s">
        <v>438</v>
      </c>
      <c r="I1752" s="22" t="s">
        <v>40</v>
      </c>
      <c r="J1752" s="22" t="s">
        <v>32</v>
      </c>
      <c r="K1752" s="10" t="str">
        <f ca="1">DATEDIF('DATA PENDUDUK'!$G1752,TODAY(),"Y")&amp; " TAHUN"</f>
        <v>20 TAHUN</v>
      </c>
      <c r="L1752" s="24" t="s">
        <v>4013</v>
      </c>
    </row>
    <row r="1753" spans="1:12" ht="20.100000000000001" customHeight="1" x14ac:dyDescent="0.25">
      <c r="A1753" s="8">
        <f t="shared" si="27"/>
        <v>1750</v>
      </c>
      <c r="B1753" s="21" t="s">
        <v>4230</v>
      </c>
      <c r="C1753" s="21" t="s">
        <v>4239</v>
      </c>
      <c r="D1753" s="22" t="s">
        <v>4240</v>
      </c>
      <c r="E1753" s="22" t="s">
        <v>671</v>
      </c>
      <c r="F1753" s="22" t="s">
        <v>780</v>
      </c>
      <c r="G1753" s="23">
        <v>39806</v>
      </c>
      <c r="H1753" s="22" t="s">
        <v>438</v>
      </c>
      <c r="I1753" s="22" t="s">
        <v>31</v>
      </c>
      <c r="J1753" s="22" t="s">
        <v>32</v>
      </c>
      <c r="K1753" s="10" t="str">
        <f ca="1">DATEDIF('DATA PENDUDUK'!$G1753,TODAY(),"Y")&amp; " TAHUN"</f>
        <v>16 TAHUN</v>
      </c>
      <c r="L1753" s="24" t="s">
        <v>4013</v>
      </c>
    </row>
    <row r="1754" spans="1:12" ht="20.100000000000001" customHeight="1" x14ac:dyDescent="0.25">
      <c r="A1754" s="8">
        <f t="shared" si="27"/>
        <v>1751</v>
      </c>
      <c r="B1754" s="21" t="s">
        <v>4230</v>
      </c>
      <c r="C1754" s="21" t="s">
        <v>4241</v>
      </c>
      <c r="D1754" s="22" t="s">
        <v>4242</v>
      </c>
      <c r="E1754" s="22" t="s">
        <v>1306</v>
      </c>
      <c r="F1754" s="22" t="s">
        <v>30</v>
      </c>
      <c r="G1754" s="23">
        <v>40705</v>
      </c>
      <c r="H1754" s="22" t="s">
        <v>438</v>
      </c>
      <c r="I1754" s="22" t="s">
        <v>31</v>
      </c>
      <c r="J1754" s="22" t="s">
        <v>32</v>
      </c>
      <c r="K1754" s="10" t="str">
        <f ca="1">DATEDIF('DATA PENDUDUK'!$G1754,TODAY(),"Y")&amp; " TAHUN"</f>
        <v>14 TAHUN</v>
      </c>
      <c r="L1754" s="24" t="s">
        <v>4013</v>
      </c>
    </row>
    <row r="1755" spans="1:12" ht="20.100000000000001" customHeight="1" x14ac:dyDescent="0.25">
      <c r="A1755" s="8">
        <f t="shared" si="27"/>
        <v>1752</v>
      </c>
      <c r="B1755" s="21" t="s">
        <v>4230</v>
      </c>
      <c r="C1755" s="21" t="s">
        <v>4243</v>
      </c>
      <c r="D1755" s="22" t="s">
        <v>4244</v>
      </c>
      <c r="E1755" s="22" t="s">
        <v>1306</v>
      </c>
      <c r="F1755" s="22" t="s">
        <v>30</v>
      </c>
      <c r="G1755" s="23">
        <v>41528</v>
      </c>
      <c r="H1755" s="22" t="s">
        <v>438</v>
      </c>
      <c r="I1755" s="22" t="s">
        <v>31</v>
      </c>
      <c r="J1755" s="22" t="s">
        <v>32</v>
      </c>
      <c r="K1755" s="10" t="str">
        <f ca="1">DATEDIF('DATA PENDUDUK'!$G1755,TODAY(),"Y")&amp; " TAHUN"</f>
        <v>11 TAHUN</v>
      </c>
      <c r="L1755" s="24" t="s">
        <v>4013</v>
      </c>
    </row>
    <row r="1756" spans="1:12" ht="20.100000000000001" customHeight="1" x14ac:dyDescent="0.25">
      <c r="A1756" s="8">
        <f t="shared" si="27"/>
        <v>1753</v>
      </c>
      <c r="B1756" s="21" t="s">
        <v>4230</v>
      </c>
      <c r="C1756" s="21" t="s">
        <v>4245</v>
      </c>
      <c r="D1756" s="22" t="s">
        <v>4246</v>
      </c>
      <c r="E1756" s="22" t="s">
        <v>671</v>
      </c>
      <c r="F1756" s="22" t="s">
        <v>30</v>
      </c>
      <c r="G1756" s="23">
        <v>42403</v>
      </c>
      <c r="H1756" s="22" t="s">
        <v>438</v>
      </c>
      <c r="I1756" s="22" t="s">
        <v>31</v>
      </c>
      <c r="J1756" s="22" t="s">
        <v>32</v>
      </c>
      <c r="K1756" s="10" t="str">
        <f ca="1">DATEDIF('DATA PENDUDUK'!$G1756,TODAY(),"Y")&amp; " TAHUN"</f>
        <v>9 TAHUN</v>
      </c>
      <c r="L1756" s="24" t="s">
        <v>4013</v>
      </c>
    </row>
    <row r="1757" spans="1:12" ht="20.100000000000001" customHeight="1" x14ac:dyDescent="0.25">
      <c r="A1757" s="8">
        <f t="shared" si="27"/>
        <v>1754</v>
      </c>
      <c r="B1757" s="21" t="s">
        <v>4230</v>
      </c>
      <c r="C1757" s="21" t="s">
        <v>4247</v>
      </c>
      <c r="D1757" s="22" t="s">
        <v>4248</v>
      </c>
      <c r="E1757" s="22" t="s">
        <v>671</v>
      </c>
      <c r="F1757" s="22" t="s">
        <v>30</v>
      </c>
      <c r="G1757" s="23">
        <v>38813</v>
      </c>
      <c r="H1757" s="22" t="s">
        <v>438</v>
      </c>
      <c r="I1757" s="22" t="s">
        <v>40</v>
      </c>
      <c r="J1757" s="22" t="s">
        <v>37</v>
      </c>
      <c r="K1757" s="10" t="str">
        <f ca="1">DATEDIF('DATA PENDUDUK'!$G1757,TODAY(),"Y")&amp; " TAHUN"</f>
        <v>19 TAHUN</v>
      </c>
      <c r="L1757" s="24" t="s">
        <v>4013</v>
      </c>
    </row>
    <row r="1758" spans="1:12" ht="20.100000000000001" customHeight="1" x14ac:dyDescent="0.25">
      <c r="A1758" s="8">
        <f t="shared" si="27"/>
        <v>1755</v>
      </c>
      <c r="B1758" s="21" t="s">
        <v>4249</v>
      </c>
      <c r="C1758" s="21" t="s">
        <v>4250</v>
      </c>
      <c r="D1758" s="22" t="s">
        <v>4251</v>
      </c>
      <c r="E1758" s="22" t="s">
        <v>671</v>
      </c>
      <c r="F1758" s="22" t="s">
        <v>863</v>
      </c>
      <c r="G1758" s="23">
        <v>33842</v>
      </c>
      <c r="H1758" s="22" t="s">
        <v>438</v>
      </c>
      <c r="I1758" s="22" t="s">
        <v>4252</v>
      </c>
      <c r="J1758" s="22" t="s">
        <v>20</v>
      </c>
      <c r="K1758" s="10" t="str">
        <f ca="1">DATEDIF('DATA PENDUDUK'!$G1758,TODAY(),"Y")&amp; " TAHUN"</f>
        <v>32 TAHUN</v>
      </c>
      <c r="L1758" s="24" t="s">
        <v>4013</v>
      </c>
    </row>
    <row r="1759" spans="1:12" ht="20.100000000000001" customHeight="1" x14ac:dyDescent="0.25">
      <c r="A1759" s="8">
        <f t="shared" si="27"/>
        <v>1756</v>
      </c>
      <c r="B1759" s="21" t="s">
        <v>4249</v>
      </c>
      <c r="C1759" s="21" t="s">
        <v>4253</v>
      </c>
      <c r="D1759" s="22" t="s">
        <v>4254</v>
      </c>
      <c r="E1759" s="22" t="s">
        <v>1306</v>
      </c>
      <c r="F1759" s="22" t="s">
        <v>681</v>
      </c>
      <c r="G1759" s="23">
        <v>33106</v>
      </c>
      <c r="H1759" s="22" t="s">
        <v>438</v>
      </c>
      <c r="I1759" s="22" t="s">
        <v>26</v>
      </c>
      <c r="J1759" s="22" t="s">
        <v>27</v>
      </c>
      <c r="K1759" s="10" t="str">
        <f ca="1">DATEDIF('DATA PENDUDUK'!$G1759,TODAY(),"Y")&amp; " TAHUN"</f>
        <v>34 TAHUN</v>
      </c>
      <c r="L1759" s="24" t="s">
        <v>4013</v>
      </c>
    </row>
    <row r="1760" spans="1:12" ht="20.100000000000001" customHeight="1" x14ac:dyDescent="0.25">
      <c r="A1760" s="8">
        <f t="shared" si="27"/>
        <v>1757</v>
      </c>
      <c r="B1760" s="21" t="s">
        <v>4249</v>
      </c>
      <c r="C1760" s="21" t="s">
        <v>4255</v>
      </c>
      <c r="D1760" s="22" t="s">
        <v>4256</v>
      </c>
      <c r="E1760" s="22" t="s">
        <v>671</v>
      </c>
      <c r="F1760" s="22" t="s">
        <v>30</v>
      </c>
      <c r="G1760" s="23">
        <v>36771</v>
      </c>
      <c r="H1760" s="22" t="s">
        <v>438</v>
      </c>
      <c r="I1760" s="22" t="s">
        <v>40</v>
      </c>
      <c r="J1760" s="22" t="s">
        <v>32</v>
      </c>
      <c r="K1760" s="10" t="str">
        <f ca="1">DATEDIF('DATA PENDUDUK'!$G1760,TODAY(),"Y")&amp; " TAHUN"</f>
        <v>24 TAHUN</v>
      </c>
      <c r="L1760" s="24" t="s">
        <v>4013</v>
      </c>
    </row>
    <row r="1761" spans="1:12" ht="20.100000000000001" customHeight="1" x14ac:dyDescent="0.25">
      <c r="A1761" s="8">
        <f t="shared" si="27"/>
        <v>1758</v>
      </c>
      <c r="B1761" s="21" t="s">
        <v>4249</v>
      </c>
      <c r="C1761" s="21" t="s">
        <v>4257</v>
      </c>
      <c r="D1761" s="22" t="s">
        <v>4258</v>
      </c>
      <c r="E1761" s="22" t="s">
        <v>671</v>
      </c>
      <c r="F1761" s="22" t="s">
        <v>30</v>
      </c>
      <c r="G1761" s="23">
        <v>41253</v>
      </c>
      <c r="H1761" s="22" t="s">
        <v>438</v>
      </c>
      <c r="I1761" s="22" t="s">
        <v>31</v>
      </c>
      <c r="J1761" s="22" t="s">
        <v>32</v>
      </c>
      <c r="K1761" s="10" t="str">
        <f ca="1">DATEDIF('DATA PENDUDUK'!$G1761,TODAY(),"Y")&amp; " TAHUN"</f>
        <v>12 TAHUN</v>
      </c>
      <c r="L1761" s="24" t="s">
        <v>4013</v>
      </c>
    </row>
    <row r="1762" spans="1:12" ht="20.100000000000001" customHeight="1" x14ac:dyDescent="0.25">
      <c r="A1762" s="8">
        <f t="shared" si="27"/>
        <v>1759</v>
      </c>
      <c r="B1762" s="21" t="s">
        <v>4249</v>
      </c>
      <c r="C1762" s="21" t="s">
        <v>4259</v>
      </c>
      <c r="D1762" s="22" t="s">
        <v>4260</v>
      </c>
      <c r="E1762" s="22" t="s">
        <v>671</v>
      </c>
      <c r="F1762" s="22" t="s">
        <v>30</v>
      </c>
      <c r="G1762" s="23">
        <v>41780</v>
      </c>
      <c r="H1762" s="22" t="s">
        <v>438</v>
      </c>
      <c r="I1762" s="22" t="s">
        <v>31</v>
      </c>
      <c r="J1762" s="22" t="s">
        <v>32</v>
      </c>
      <c r="K1762" s="10" t="str">
        <f ca="1">DATEDIF('DATA PENDUDUK'!$G1762,TODAY(),"Y")&amp; " TAHUN"</f>
        <v>11 TAHUN</v>
      </c>
      <c r="L1762" s="24" t="s">
        <v>4013</v>
      </c>
    </row>
    <row r="1763" spans="1:12" ht="20.100000000000001" customHeight="1" x14ac:dyDescent="0.25">
      <c r="A1763" s="8">
        <f t="shared" si="27"/>
        <v>1760</v>
      </c>
      <c r="B1763" s="21" t="s">
        <v>4249</v>
      </c>
      <c r="C1763" s="21" t="s">
        <v>4261</v>
      </c>
      <c r="D1763" s="22" t="s">
        <v>4229</v>
      </c>
      <c r="E1763" s="22" t="s">
        <v>671</v>
      </c>
      <c r="F1763" s="22" t="s">
        <v>863</v>
      </c>
      <c r="G1763" s="23">
        <v>35597</v>
      </c>
      <c r="H1763" s="22" t="s">
        <v>438</v>
      </c>
      <c r="I1763" s="22" t="s">
        <v>40</v>
      </c>
      <c r="J1763" s="22" t="s">
        <v>37</v>
      </c>
      <c r="K1763" s="10" t="str">
        <f ca="1">DATEDIF('DATA PENDUDUK'!$G1763,TODAY(),"Y")&amp; " TAHUN"</f>
        <v>28 TAHUN</v>
      </c>
      <c r="L1763" s="24" t="s">
        <v>4013</v>
      </c>
    </row>
    <row r="1764" spans="1:12" ht="20.100000000000001" customHeight="1" x14ac:dyDescent="0.25">
      <c r="A1764" s="8">
        <f t="shared" si="27"/>
        <v>1761</v>
      </c>
      <c r="B1764" s="21" t="s">
        <v>4262</v>
      </c>
      <c r="C1764" s="21" t="s">
        <v>4263</v>
      </c>
      <c r="D1764" s="22" t="s">
        <v>4264</v>
      </c>
      <c r="E1764" s="22" t="s">
        <v>671</v>
      </c>
      <c r="F1764" s="22" t="s">
        <v>955</v>
      </c>
      <c r="G1764" s="23">
        <v>28006</v>
      </c>
      <c r="H1764" s="22" t="s">
        <v>438</v>
      </c>
      <c r="I1764" s="22" t="s">
        <v>747</v>
      </c>
      <c r="J1764" s="22" t="s">
        <v>20</v>
      </c>
      <c r="K1764" s="10" t="str">
        <f ca="1">DATEDIF('DATA PENDUDUK'!$G1764,TODAY(),"Y")&amp; " TAHUN"</f>
        <v>48 TAHUN</v>
      </c>
      <c r="L1764" s="24" t="s">
        <v>4013</v>
      </c>
    </row>
    <row r="1765" spans="1:12" ht="20.100000000000001" customHeight="1" x14ac:dyDescent="0.25">
      <c r="A1765" s="8">
        <f t="shared" si="27"/>
        <v>1762</v>
      </c>
      <c r="B1765" s="21" t="s">
        <v>4262</v>
      </c>
      <c r="C1765" s="21" t="s">
        <v>4265</v>
      </c>
      <c r="D1765" s="22" t="s">
        <v>4266</v>
      </c>
      <c r="E1765" s="22" t="s">
        <v>1306</v>
      </c>
      <c r="F1765" s="22" t="s">
        <v>955</v>
      </c>
      <c r="G1765" s="23">
        <v>31547</v>
      </c>
      <c r="H1765" s="22" t="s">
        <v>438</v>
      </c>
      <c r="I1765" s="22" t="s">
        <v>26</v>
      </c>
      <c r="J1765" s="22" t="s">
        <v>27</v>
      </c>
      <c r="K1765" s="10" t="str">
        <f ca="1">DATEDIF('DATA PENDUDUK'!$G1765,TODAY(),"Y")&amp; " TAHUN"</f>
        <v>39 TAHUN</v>
      </c>
      <c r="L1765" s="24" t="s">
        <v>4013</v>
      </c>
    </row>
    <row r="1766" spans="1:12" ht="20.100000000000001" customHeight="1" x14ac:dyDescent="0.25">
      <c r="A1766" s="8">
        <f t="shared" si="27"/>
        <v>1763</v>
      </c>
      <c r="B1766" s="21" t="s">
        <v>4262</v>
      </c>
      <c r="C1766" s="21" t="s">
        <v>4267</v>
      </c>
      <c r="D1766" s="22" t="s">
        <v>4268</v>
      </c>
      <c r="E1766" s="22" t="s">
        <v>671</v>
      </c>
      <c r="F1766" s="22" t="s">
        <v>30</v>
      </c>
      <c r="G1766" s="23">
        <v>38363</v>
      </c>
      <c r="H1766" s="22" t="s">
        <v>438</v>
      </c>
      <c r="I1766" s="22" t="s">
        <v>40</v>
      </c>
      <c r="J1766" s="22" t="s">
        <v>32</v>
      </c>
      <c r="K1766" s="10" t="str">
        <f ca="1">DATEDIF('DATA PENDUDUK'!$G1766,TODAY(),"Y")&amp; " TAHUN"</f>
        <v>20 TAHUN</v>
      </c>
      <c r="L1766" s="24" t="s">
        <v>4013</v>
      </c>
    </row>
    <row r="1767" spans="1:12" ht="20.100000000000001" customHeight="1" x14ac:dyDescent="0.25">
      <c r="A1767" s="8">
        <f t="shared" si="27"/>
        <v>1764</v>
      </c>
      <c r="B1767" s="21" t="s">
        <v>4262</v>
      </c>
      <c r="C1767" s="21" t="s">
        <v>4269</v>
      </c>
      <c r="D1767" s="22" t="s">
        <v>4270</v>
      </c>
      <c r="E1767" s="22" t="s">
        <v>671</v>
      </c>
      <c r="F1767" s="22" t="s">
        <v>30</v>
      </c>
      <c r="G1767" s="23">
        <v>39616</v>
      </c>
      <c r="H1767" s="22" t="s">
        <v>438</v>
      </c>
      <c r="I1767" s="22" t="s">
        <v>40</v>
      </c>
      <c r="J1767" s="22" t="s">
        <v>32</v>
      </c>
      <c r="K1767" s="10" t="str">
        <f ca="1">DATEDIF('DATA PENDUDUK'!$G1767,TODAY(),"Y")&amp; " TAHUN"</f>
        <v>17 TAHUN</v>
      </c>
      <c r="L1767" s="24" t="s">
        <v>4013</v>
      </c>
    </row>
    <row r="1768" spans="1:12" ht="20.100000000000001" customHeight="1" x14ac:dyDescent="0.25">
      <c r="A1768" s="8">
        <f t="shared" si="27"/>
        <v>1765</v>
      </c>
      <c r="B1768" s="21" t="s">
        <v>4262</v>
      </c>
      <c r="C1768" s="21" t="s">
        <v>4271</v>
      </c>
      <c r="D1768" s="22" t="s">
        <v>4272</v>
      </c>
      <c r="E1768" s="22" t="s">
        <v>1306</v>
      </c>
      <c r="F1768" s="22" t="s">
        <v>30</v>
      </c>
      <c r="G1768" s="23">
        <v>40519</v>
      </c>
      <c r="H1768" s="22" t="s">
        <v>438</v>
      </c>
      <c r="I1768" s="22" t="s">
        <v>31</v>
      </c>
      <c r="J1768" s="22" t="s">
        <v>32</v>
      </c>
      <c r="K1768" s="10" t="str">
        <f ca="1">DATEDIF('DATA PENDUDUK'!$G1768,TODAY(),"Y")&amp; " TAHUN"</f>
        <v>14 TAHUN</v>
      </c>
      <c r="L1768" s="24" t="s">
        <v>4013</v>
      </c>
    </row>
    <row r="1769" spans="1:12" ht="20.100000000000001" customHeight="1" x14ac:dyDescent="0.25">
      <c r="A1769" s="8">
        <f t="shared" si="27"/>
        <v>1766</v>
      </c>
      <c r="B1769" s="21" t="s">
        <v>4262</v>
      </c>
      <c r="C1769" s="21" t="s">
        <v>4273</v>
      </c>
      <c r="D1769" s="22" t="s">
        <v>4274</v>
      </c>
      <c r="E1769" s="22" t="s">
        <v>1306</v>
      </c>
      <c r="F1769" s="22" t="s">
        <v>30</v>
      </c>
      <c r="G1769" s="23">
        <v>41665</v>
      </c>
      <c r="H1769" s="22" t="s">
        <v>438</v>
      </c>
      <c r="I1769" s="22" t="s">
        <v>31</v>
      </c>
      <c r="J1769" s="22" t="s">
        <v>32</v>
      </c>
      <c r="K1769" s="10" t="str">
        <f ca="1">DATEDIF('DATA PENDUDUK'!$G1769,TODAY(),"Y")&amp; " TAHUN"</f>
        <v>11 TAHUN</v>
      </c>
      <c r="L1769" s="24" t="s">
        <v>4013</v>
      </c>
    </row>
    <row r="1770" spans="1:12" ht="20.100000000000001" customHeight="1" x14ac:dyDescent="0.25">
      <c r="A1770" s="8">
        <f t="shared" si="27"/>
        <v>1767</v>
      </c>
      <c r="B1770" s="21" t="s">
        <v>4262</v>
      </c>
      <c r="C1770" s="21" t="s">
        <v>4275</v>
      </c>
      <c r="D1770" s="22" t="s">
        <v>4276</v>
      </c>
      <c r="E1770" s="22" t="s">
        <v>1306</v>
      </c>
      <c r="F1770" s="22" t="s">
        <v>30</v>
      </c>
      <c r="G1770" s="23">
        <v>41696</v>
      </c>
      <c r="H1770" s="22" t="s">
        <v>438</v>
      </c>
      <c r="I1770" s="22" t="s">
        <v>31</v>
      </c>
      <c r="J1770" s="22" t="s">
        <v>32</v>
      </c>
      <c r="K1770" s="10" t="str">
        <f ca="1">DATEDIF('DATA PENDUDUK'!$G1770,TODAY(),"Y")&amp; " TAHUN"</f>
        <v>11 TAHUN</v>
      </c>
      <c r="L1770" s="24" t="s">
        <v>4013</v>
      </c>
    </row>
    <row r="1771" spans="1:12" ht="20.100000000000001" customHeight="1" x14ac:dyDescent="0.25">
      <c r="A1771" s="8">
        <f t="shared" si="27"/>
        <v>1768</v>
      </c>
      <c r="B1771" s="21" t="s">
        <v>4277</v>
      </c>
      <c r="C1771" s="21" t="s">
        <v>4278</v>
      </c>
      <c r="D1771" s="22" t="s">
        <v>4279</v>
      </c>
      <c r="E1771" s="22" t="s">
        <v>671</v>
      </c>
      <c r="F1771" s="22" t="s">
        <v>1022</v>
      </c>
      <c r="G1771" s="23">
        <v>28812</v>
      </c>
      <c r="H1771" s="22" t="s">
        <v>438</v>
      </c>
      <c r="I1771" s="22" t="s">
        <v>36</v>
      </c>
      <c r="J1771" s="22" t="s">
        <v>20</v>
      </c>
      <c r="K1771" s="10" t="str">
        <f ca="1">DATEDIF('DATA PENDUDUK'!$G1771,TODAY(),"Y")&amp; " TAHUN"</f>
        <v>46 TAHUN</v>
      </c>
      <c r="L1771" s="24" t="s">
        <v>4013</v>
      </c>
    </row>
    <row r="1772" spans="1:12" ht="20.100000000000001" customHeight="1" x14ac:dyDescent="0.25">
      <c r="A1772" s="8">
        <f t="shared" si="27"/>
        <v>1769</v>
      </c>
      <c r="B1772" s="21" t="s">
        <v>4277</v>
      </c>
      <c r="C1772" s="21" t="s">
        <v>4280</v>
      </c>
      <c r="D1772" s="22" t="s">
        <v>4281</v>
      </c>
      <c r="E1772" s="22" t="s">
        <v>1306</v>
      </c>
      <c r="F1772" s="22" t="s">
        <v>1022</v>
      </c>
      <c r="G1772" s="23">
        <v>29506</v>
      </c>
      <c r="H1772" s="22" t="s">
        <v>438</v>
      </c>
      <c r="I1772" s="22" t="s">
        <v>26</v>
      </c>
      <c r="J1772" s="22" t="s">
        <v>27</v>
      </c>
      <c r="K1772" s="10" t="str">
        <f ca="1">DATEDIF('DATA PENDUDUK'!$G1772,TODAY(),"Y")&amp; " TAHUN"</f>
        <v>44 TAHUN</v>
      </c>
      <c r="L1772" s="24" t="s">
        <v>4013</v>
      </c>
    </row>
    <row r="1773" spans="1:12" ht="20.100000000000001" customHeight="1" x14ac:dyDescent="0.25">
      <c r="A1773" s="8">
        <f t="shared" si="27"/>
        <v>1770</v>
      </c>
      <c r="B1773" s="21" t="s">
        <v>4277</v>
      </c>
      <c r="C1773" s="21" t="s">
        <v>4282</v>
      </c>
      <c r="D1773" s="22" t="s">
        <v>4283</v>
      </c>
      <c r="E1773" s="22" t="s">
        <v>1306</v>
      </c>
      <c r="F1773" s="22" t="s">
        <v>1022</v>
      </c>
      <c r="G1773" s="23">
        <v>31037</v>
      </c>
      <c r="H1773" s="22" t="s">
        <v>438</v>
      </c>
      <c r="I1773" s="22" t="s">
        <v>40</v>
      </c>
      <c r="J1773" s="22" t="s">
        <v>32</v>
      </c>
      <c r="K1773" s="10" t="str">
        <f ca="1">DATEDIF('DATA PENDUDUK'!$G1773,TODAY(),"Y")&amp; " TAHUN"</f>
        <v>40 TAHUN</v>
      </c>
      <c r="L1773" s="24" t="s">
        <v>4013</v>
      </c>
    </row>
    <row r="1774" spans="1:12" ht="20.100000000000001" customHeight="1" x14ac:dyDescent="0.25">
      <c r="A1774" s="8">
        <f t="shared" si="27"/>
        <v>1771</v>
      </c>
      <c r="B1774" s="21" t="s">
        <v>4277</v>
      </c>
      <c r="C1774" s="21" t="s">
        <v>4284</v>
      </c>
      <c r="D1774" s="22" t="s">
        <v>4285</v>
      </c>
      <c r="E1774" s="22" t="s">
        <v>671</v>
      </c>
      <c r="F1774" s="22" t="s">
        <v>863</v>
      </c>
      <c r="G1774" s="23">
        <v>32403</v>
      </c>
      <c r="H1774" s="22" t="s">
        <v>438</v>
      </c>
      <c r="I1774" s="22" t="s">
        <v>40</v>
      </c>
      <c r="J1774" s="22" t="s">
        <v>32</v>
      </c>
      <c r="K1774" s="10" t="str">
        <f ca="1">DATEDIF('DATA PENDUDUK'!$G1774,TODAY(),"Y")&amp; " TAHUN"</f>
        <v>36 TAHUN</v>
      </c>
      <c r="L1774" s="24" t="s">
        <v>4013</v>
      </c>
    </row>
    <row r="1775" spans="1:12" ht="20.100000000000001" customHeight="1" x14ac:dyDescent="0.25">
      <c r="A1775" s="8">
        <f t="shared" si="27"/>
        <v>1772</v>
      </c>
      <c r="B1775" s="21" t="s">
        <v>4277</v>
      </c>
      <c r="C1775" s="21" t="s">
        <v>4286</v>
      </c>
      <c r="D1775" s="22" t="s">
        <v>4287</v>
      </c>
      <c r="E1775" s="22" t="s">
        <v>1306</v>
      </c>
      <c r="F1775" s="22" t="s">
        <v>1868</v>
      </c>
      <c r="G1775" s="23">
        <v>35627</v>
      </c>
      <c r="H1775" s="22" t="s">
        <v>438</v>
      </c>
      <c r="I1775" s="22" t="s">
        <v>40</v>
      </c>
      <c r="J1775" s="22" t="s">
        <v>32</v>
      </c>
      <c r="K1775" s="10" t="str">
        <f ca="1">DATEDIF('DATA PENDUDUK'!$G1775,TODAY(),"Y")&amp; " TAHUN"</f>
        <v>28 TAHUN</v>
      </c>
      <c r="L1775" s="24" t="s">
        <v>4013</v>
      </c>
    </row>
    <row r="1776" spans="1:12" ht="20.100000000000001" customHeight="1" x14ac:dyDescent="0.25">
      <c r="A1776" s="8">
        <f t="shared" si="27"/>
        <v>1773</v>
      </c>
      <c r="B1776" s="21" t="s">
        <v>4277</v>
      </c>
      <c r="C1776" s="21" t="s">
        <v>4288</v>
      </c>
      <c r="D1776" s="22" t="s">
        <v>4289</v>
      </c>
      <c r="E1776" s="22" t="s">
        <v>671</v>
      </c>
      <c r="F1776" s="22" t="s">
        <v>1022</v>
      </c>
      <c r="G1776" s="23">
        <v>38107</v>
      </c>
      <c r="H1776" s="22" t="s">
        <v>438</v>
      </c>
      <c r="I1776" s="22" t="s">
        <v>40</v>
      </c>
      <c r="J1776" s="22" t="s">
        <v>32</v>
      </c>
      <c r="K1776" s="10" t="str">
        <f ca="1">DATEDIF('DATA PENDUDUK'!$G1776,TODAY(),"Y")&amp; " TAHUN"</f>
        <v>21 TAHUN</v>
      </c>
      <c r="L1776" s="24" t="s">
        <v>4013</v>
      </c>
    </row>
    <row r="1777" spans="1:12" ht="20.100000000000001" customHeight="1" x14ac:dyDescent="0.25">
      <c r="A1777" s="8">
        <f t="shared" si="27"/>
        <v>1774</v>
      </c>
      <c r="B1777" s="21" t="s">
        <v>4277</v>
      </c>
      <c r="C1777" s="21" t="s">
        <v>4290</v>
      </c>
      <c r="D1777" s="22" t="s">
        <v>4291</v>
      </c>
      <c r="E1777" s="22" t="s">
        <v>1306</v>
      </c>
      <c r="F1777" s="22" t="s">
        <v>376</v>
      </c>
      <c r="G1777" s="23">
        <v>39160</v>
      </c>
      <c r="H1777" s="22" t="s">
        <v>438</v>
      </c>
      <c r="I1777" s="22" t="s">
        <v>40</v>
      </c>
      <c r="J1777" s="22" t="s">
        <v>32</v>
      </c>
      <c r="K1777" s="10" t="str">
        <f ca="1">DATEDIF('DATA PENDUDUK'!$G1777,TODAY(),"Y")&amp; " TAHUN"</f>
        <v>18 TAHUN</v>
      </c>
      <c r="L1777" s="24" t="s">
        <v>4013</v>
      </c>
    </row>
    <row r="1778" spans="1:12" ht="20.100000000000001" customHeight="1" x14ac:dyDescent="0.25">
      <c r="A1778" s="8">
        <f t="shared" si="27"/>
        <v>1775</v>
      </c>
      <c r="B1778" s="21" t="s">
        <v>4292</v>
      </c>
      <c r="C1778" s="21" t="s">
        <v>4293</v>
      </c>
      <c r="D1778" s="22" t="s">
        <v>4294</v>
      </c>
      <c r="E1778" s="22" t="s">
        <v>671</v>
      </c>
      <c r="F1778" s="22" t="s">
        <v>780</v>
      </c>
      <c r="G1778" s="23">
        <v>29228</v>
      </c>
      <c r="H1778" s="22" t="s">
        <v>438</v>
      </c>
      <c r="I1778" s="22" t="s">
        <v>36</v>
      </c>
      <c r="J1778" s="22" t="s">
        <v>20</v>
      </c>
      <c r="K1778" s="10" t="str">
        <f ca="1">DATEDIF('DATA PENDUDUK'!$G1778,TODAY(),"Y")&amp; " TAHUN"</f>
        <v>45 TAHUN</v>
      </c>
      <c r="L1778" s="24" t="s">
        <v>4013</v>
      </c>
    </row>
    <row r="1779" spans="1:12" ht="20.100000000000001" customHeight="1" x14ac:dyDescent="0.25">
      <c r="A1779" s="8">
        <f t="shared" si="27"/>
        <v>1776</v>
      </c>
      <c r="B1779" s="21" t="s">
        <v>4292</v>
      </c>
      <c r="C1779" s="21" t="s">
        <v>4295</v>
      </c>
      <c r="D1779" s="22" t="s">
        <v>4296</v>
      </c>
      <c r="E1779" s="22" t="s">
        <v>1306</v>
      </c>
      <c r="F1779" s="22" t="s">
        <v>780</v>
      </c>
      <c r="G1779" s="23">
        <v>27820</v>
      </c>
      <c r="H1779" s="22" t="s">
        <v>438</v>
      </c>
      <c r="I1779" s="22" t="s">
        <v>26</v>
      </c>
      <c r="J1779" s="22" t="s">
        <v>27</v>
      </c>
      <c r="K1779" s="10" t="str">
        <f ca="1">DATEDIF('DATA PENDUDUK'!$G1779,TODAY(),"Y")&amp; " TAHUN"</f>
        <v>49 TAHUN</v>
      </c>
      <c r="L1779" s="24" t="s">
        <v>4013</v>
      </c>
    </row>
    <row r="1780" spans="1:12" ht="20.100000000000001" customHeight="1" x14ac:dyDescent="0.25">
      <c r="A1780" s="8">
        <f t="shared" si="27"/>
        <v>1777</v>
      </c>
      <c r="B1780" s="21" t="s">
        <v>4292</v>
      </c>
      <c r="C1780" s="21" t="s">
        <v>4297</v>
      </c>
      <c r="D1780" s="22" t="s">
        <v>4298</v>
      </c>
      <c r="E1780" s="22" t="s">
        <v>671</v>
      </c>
      <c r="F1780" s="22" t="s">
        <v>681</v>
      </c>
      <c r="G1780" s="23">
        <v>37318</v>
      </c>
      <c r="H1780" s="22" t="s">
        <v>438</v>
      </c>
      <c r="I1780" s="22" t="s">
        <v>40</v>
      </c>
      <c r="J1780" s="22" t="s">
        <v>32</v>
      </c>
      <c r="K1780" s="10" t="str">
        <f ca="1">DATEDIF('DATA PENDUDUK'!$G1780,TODAY(),"Y")&amp; " TAHUN"</f>
        <v>23 TAHUN</v>
      </c>
      <c r="L1780" s="24" t="s">
        <v>4013</v>
      </c>
    </row>
    <row r="1781" spans="1:12" ht="20.100000000000001" customHeight="1" x14ac:dyDescent="0.25">
      <c r="A1781" s="8">
        <f t="shared" si="27"/>
        <v>1778</v>
      </c>
      <c r="B1781" s="21" t="s">
        <v>4292</v>
      </c>
      <c r="C1781" s="21" t="s">
        <v>4299</v>
      </c>
      <c r="D1781" s="22" t="s">
        <v>4300</v>
      </c>
      <c r="E1781" s="22" t="s">
        <v>1306</v>
      </c>
      <c r="F1781" s="22" t="s">
        <v>681</v>
      </c>
      <c r="G1781" s="23">
        <v>39032</v>
      </c>
      <c r="H1781" s="22" t="s">
        <v>438</v>
      </c>
      <c r="I1781" s="22" t="s">
        <v>40</v>
      </c>
      <c r="J1781" s="22" t="s">
        <v>32</v>
      </c>
      <c r="K1781" s="10" t="str">
        <f ca="1">DATEDIF('DATA PENDUDUK'!$G1781,TODAY(),"Y")&amp; " TAHUN"</f>
        <v>18 TAHUN</v>
      </c>
      <c r="L1781" s="24" t="s">
        <v>4013</v>
      </c>
    </row>
    <row r="1782" spans="1:12" ht="20.100000000000001" customHeight="1" x14ac:dyDescent="0.25">
      <c r="A1782" s="8">
        <f t="shared" si="27"/>
        <v>1779</v>
      </c>
      <c r="B1782" s="21" t="s">
        <v>4292</v>
      </c>
      <c r="C1782" s="21" t="s">
        <v>4301</v>
      </c>
      <c r="D1782" s="22" t="s">
        <v>4302</v>
      </c>
      <c r="E1782" s="22" t="s">
        <v>671</v>
      </c>
      <c r="F1782" s="22" t="s">
        <v>376</v>
      </c>
      <c r="G1782" s="23">
        <v>39406</v>
      </c>
      <c r="H1782" s="22" t="s">
        <v>438</v>
      </c>
      <c r="I1782" s="22" t="s">
        <v>40</v>
      </c>
      <c r="J1782" s="22" t="s">
        <v>32</v>
      </c>
      <c r="K1782" s="10" t="str">
        <f ca="1">DATEDIF('DATA PENDUDUK'!$G1782,TODAY(),"Y")&amp; " TAHUN"</f>
        <v>17 TAHUN</v>
      </c>
      <c r="L1782" s="24" t="s">
        <v>4013</v>
      </c>
    </row>
    <row r="1783" spans="1:12" ht="20.100000000000001" customHeight="1" x14ac:dyDescent="0.25">
      <c r="A1783" s="8">
        <f t="shared" si="27"/>
        <v>1780</v>
      </c>
      <c r="B1783" s="21" t="s">
        <v>4292</v>
      </c>
      <c r="C1783" s="21" t="s">
        <v>4303</v>
      </c>
      <c r="D1783" s="22" t="s">
        <v>4304</v>
      </c>
      <c r="E1783" s="22" t="s">
        <v>671</v>
      </c>
      <c r="F1783" s="22" t="s">
        <v>376</v>
      </c>
      <c r="G1783" s="23">
        <v>39676</v>
      </c>
      <c r="H1783" s="22" t="s">
        <v>438</v>
      </c>
      <c r="I1783" s="22" t="s">
        <v>31</v>
      </c>
      <c r="J1783" s="22" t="s">
        <v>32</v>
      </c>
      <c r="K1783" s="10" t="str">
        <f ca="1">DATEDIF('DATA PENDUDUK'!$G1783,TODAY(),"Y")&amp; " TAHUN"</f>
        <v>16 TAHUN</v>
      </c>
      <c r="L1783" s="24" t="s">
        <v>4013</v>
      </c>
    </row>
    <row r="1784" spans="1:12" ht="20.100000000000001" customHeight="1" x14ac:dyDescent="0.25">
      <c r="A1784" s="8">
        <f t="shared" si="27"/>
        <v>1781</v>
      </c>
      <c r="B1784" s="21" t="s">
        <v>4305</v>
      </c>
      <c r="C1784" s="21" t="s">
        <v>4306</v>
      </c>
      <c r="D1784" s="22" t="s">
        <v>4307</v>
      </c>
      <c r="E1784" s="22" t="s">
        <v>671</v>
      </c>
      <c r="F1784" s="22" t="s">
        <v>866</v>
      </c>
      <c r="G1784" s="23">
        <v>26984</v>
      </c>
      <c r="H1784" s="22" t="s">
        <v>438</v>
      </c>
      <c r="I1784" s="22" t="s">
        <v>40</v>
      </c>
      <c r="J1784" s="22" t="s">
        <v>20</v>
      </c>
      <c r="K1784" s="10" t="str">
        <f ca="1">DATEDIF('DATA PENDUDUK'!$G1784,TODAY(),"Y")&amp; " TAHUN"</f>
        <v>51 TAHUN</v>
      </c>
      <c r="L1784" s="24" t="s">
        <v>4013</v>
      </c>
    </row>
    <row r="1785" spans="1:12" ht="20.100000000000001" customHeight="1" x14ac:dyDescent="0.25">
      <c r="A1785" s="8">
        <f t="shared" si="27"/>
        <v>1782</v>
      </c>
      <c r="B1785" s="21" t="s">
        <v>4305</v>
      </c>
      <c r="C1785" s="21" t="s">
        <v>4308</v>
      </c>
      <c r="D1785" s="22" t="s">
        <v>4309</v>
      </c>
      <c r="E1785" s="22" t="s">
        <v>1306</v>
      </c>
      <c r="F1785" s="22" t="s">
        <v>955</v>
      </c>
      <c r="G1785" s="23">
        <v>35004</v>
      </c>
      <c r="H1785" s="22" t="s">
        <v>438</v>
      </c>
      <c r="I1785" s="22" t="s">
        <v>26</v>
      </c>
      <c r="J1785" s="22" t="s">
        <v>27</v>
      </c>
      <c r="K1785" s="10" t="str">
        <f ca="1">DATEDIF('DATA PENDUDUK'!$G1785,TODAY(),"Y")&amp; " TAHUN"</f>
        <v>29 TAHUN</v>
      </c>
      <c r="L1785" s="24" t="s">
        <v>4013</v>
      </c>
    </row>
    <row r="1786" spans="1:12" ht="20.100000000000001" customHeight="1" x14ac:dyDescent="0.25">
      <c r="A1786" s="8">
        <f t="shared" si="27"/>
        <v>1783</v>
      </c>
      <c r="B1786" s="21" t="s">
        <v>4305</v>
      </c>
      <c r="C1786" s="21" t="s">
        <v>4310</v>
      </c>
      <c r="D1786" s="22" t="s">
        <v>4311</v>
      </c>
      <c r="E1786" s="22" t="s">
        <v>1306</v>
      </c>
      <c r="F1786" s="26" t="s">
        <v>780</v>
      </c>
      <c r="G1786" s="23">
        <v>35526</v>
      </c>
      <c r="H1786" s="22" t="s">
        <v>438</v>
      </c>
      <c r="I1786" s="22" t="s">
        <v>40</v>
      </c>
      <c r="J1786" s="22" t="s">
        <v>32</v>
      </c>
      <c r="K1786" s="10" t="str">
        <f ca="1">DATEDIF('DATA PENDUDUK'!$G1786,TODAY(),"Y")&amp; " TAHUN"</f>
        <v>28 TAHUN</v>
      </c>
      <c r="L1786" s="24" t="s">
        <v>4013</v>
      </c>
    </row>
    <row r="1787" spans="1:12" ht="20.100000000000001" customHeight="1" x14ac:dyDescent="0.25">
      <c r="A1787" s="8">
        <f t="shared" si="27"/>
        <v>1784</v>
      </c>
      <c r="B1787" s="21" t="s">
        <v>4305</v>
      </c>
      <c r="C1787" s="21" t="s">
        <v>4312</v>
      </c>
      <c r="D1787" s="22" t="s">
        <v>4313</v>
      </c>
      <c r="E1787" s="22" t="s">
        <v>1306</v>
      </c>
      <c r="F1787" s="22" t="s">
        <v>780</v>
      </c>
      <c r="G1787" s="23">
        <v>36015</v>
      </c>
      <c r="H1787" s="22" t="s">
        <v>438</v>
      </c>
      <c r="I1787" s="22" t="s">
        <v>40</v>
      </c>
      <c r="J1787" s="22" t="s">
        <v>32</v>
      </c>
      <c r="K1787" s="10" t="str">
        <f ca="1">DATEDIF('DATA PENDUDUK'!$G1787,TODAY(),"Y")&amp; " TAHUN"</f>
        <v>26 TAHUN</v>
      </c>
      <c r="L1787" s="24" t="s">
        <v>4013</v>
      </c>
    </row>
    <row r="1788" spans="1:12" ht="20.100000000000001" customHeight="1" x14ac:dyDescent="0.25">
      <c r="A1788" s="8">
        <f t="shared" si="27"/>
        <v>1785</v>
      </c>
      <c r="B1788" s="21" t="s">
        <v>4305</v>
      </c>
      <c r="C1788" s="21" t="s">
        <v>4314</v>
      </c>
      <c r="D1788" s="22" t="s">
        <v>4315</v>
      </c>
      <c r="E1788" s="22" t="s">
        <v>671</v>
      </c>
      <c r="F1788" s="22" t="s">
        <v>780</v>
      </c>
      <c r="G1788" s="23">
        <v>40335</v>
      </c>
      <c r="H1788" s="22" t="s">
        <v>438</v>
      </c>
      <c r="I1788" s="22" t="s">
        <v>31</v>
      </c>
      <c r="J1788" s="22" t="s">
        <v>32</v>
      </c>
      <c r="K1788" s="10" t="str">
        <f ca="1">DATEDIF('DATA PENDUDUK'!$G1788,TODAY(),"Y")&amp; " TAHUN"</f>
        <v>15 TAHUN</v>
      </c>
      <c r="L1788" s="24" t="s">
        <v>4013</v>
      </c>
    </row>
    <row r="1789" spans="1:12" ht="20.100000000000001" customHeight="1" x14ac:dyDescent="0.25">
      <c r="A1789" s="8">
        <f t="shared" si="27"/>
        <v>1786</v>
      </c>
      <c r="B1789" s="21" t="s">
        <v>4305</v>
      </c>
      <c r="C1789" s="21" t="s">
        <v>4316</v>
      </c>
      <c r="D1789" s="22" t="s">
        <v>4317</v>
      </c>
      <c r="E1789" s="22" t="s">
        <v>1306</v>
      </c>
      <c r="F1789" s="22" t="s">
        <v>780</v>
      </c>
      <c r="G1789" s="23">
        <v>40911</v>
      </c>
      <c r="H1789" s="22" t="s">
        <v>438</v>
      </c>
      <c r="I1789" s="22" t="s">
        <v>31</v>
      </c>
      <c r="J1789" s="22" t="s">
        <v>32</v>
      </c>
      <c r="K1789" s="10" t="str">
        <f ca="1">DATEDIF('DATA PENDUDUK'!$G1789,TODAY(),"Y")&amp; " TAHUN"</f>
        <v>13 TAHUN</v>
      </c>
      <c r="L1789" s="24" t="s">
        <v>4013</v>
      </c>
    </row>
    <row r="1790" spans="1:12" ht="20.100000000000001" customHeight="1" x14ac:dyDescent="0.25">
      <c r="A1790" s="8">
        <f t="shared" si="27"/>
        <v>1787</v>
      </c>
      <c r="B1790" s="21" t="s">
        <v>4305</v>
      </c>
      <c r="C1790" s="21" t="s">
        <v>4318</v>
      </c>
      <c r="D1790" s="22" t="s">
        <v>4319</v>
      </c>
      <c r="E1790" s="22" t="s">
        <v>1306</v>
      </c>
      <c r="F1790" s="22" t="s">
        <v>780</v>
      </c>
      <c r="G1790" s="23">
        <v>41765</v>
      </c>
      <c r="H1790" s="22" t="s">
        <v>438</v>
      </c>
      <c r="I1790" s="22" t="s">
        <v>31</v>
      </c>
      <c r="J1790" s="22" t="s">
        <v>32</v>
      </c>
      <c r="K1790" s="10" t="str">
        <f ca="1">DATEDIF('DATA PENDUDUK'!$G1790,TODAY(),"Y")&amp; " TAHUN"</f>
        <v>11 TAHUN</v>
      </c>
      <c r="L1790" s="24" t="s">
        <v>4013</v>
      </c>
    </row>
    <row r="1791" spans="1:12" ht="20.100000000000001" customHeight="1" x14ac:dyDescent="0.25">
      <c r="A1791" s="8">
        <f t="shared" si="27"/>
        <v>1788</v>
      </c>
      <c r="B1791" s="21" t="s">
        <v>4305</v>
      </c>
      <c r="C1791" s="21" t="s">
        <v>4320</v>
      </c>
      <c r="D1791" s="22" t="s">
        <v>2793</v>
      </c>
      <c r="E1791" s="22" t="s">
        <v>1306</v>
      </c>
      <c r="F1791" s="22" t="s">
        <v>860</v>
      </c>
      <c r="G1791" s="23">
        <v>23471</v>
      </c>
      <c r="H1791" s="22" t="s">
        <v>438</v>
      </c>
      <c r="I1791" s="22" t="s">
        <v>40</v>
      </c>
      <c r="J1791" s="22" t="s">
        <v>37</v>
      </c>
      <c r="K1791" s="10" t="str">
        <f ca="1">DATEDIF('DATA PENDUDUK'!$G1791,TODAY(),"Y")&amp; " TAHUN"</f>
        <v>61 TAHUN</v>
      </c>
      <c r="L1791" s="24" t="s">
        <v>4013</v>
      </c>
    </row>
    <row r="1792" spans="1:12" ht="20.100000000000001" customHeight="1" x14ac:dyDescent="0.25">
      <c r="A1792" s="8">
        <f t="shared" si="27"/>
        <v>1789</v>
      </c>
      <c r="B1792" s="21" t="s">
        <v>4321</v>
      </c>
      <c r="C1792" s="21" t="s">
        <v>4322</v>
      </c>
      <c r="D1792" s="22" t="s">
        <v>4323</v>
      </c>
      <c r="E1792" s="22" t="s">
        <v>671</v>
      </c>
      <c r="F1792" s="22" t="s">
        <v>780</v>
      </c>
      <c r="G1792" s="23">
        <v>36453</v>
      </c>
      <c r="H1792" s="22" t="s">
        <v>438</v>
      </c>
      <c r="I1792" s="22" t="s">
        <v>40</v>
      </c>
      <c r="J1792" s="22" t="s">
        <v>20</v>
      </c>
      <c r="K1792" s="10" t="str">
        <f ca="1">DATEDIF('DATA PENDUDUK'!$G1792,TODAY(),"Y")&amp; " TAHUN"</f>
        <v>25 TAHUN</v>
      </c>
      <c r="L1792" s="24" t="s">
        <v>4013</v>
      </c>
    </row>
    <row r="1793" spans="1:12" ht="20.100000000000001" customHeight="1" x14ac:dyDescent="0.25">
      <c r="A1793" s="8">
        <f t="shared" si="27"/>
        <v>1790</v>
      </c>
      <c r="B1793" s="21" t="s">
        <v>4321</v>
      </c>
      <c r="C1793" s="21" t="s">
        <v>4324</v>
      </c>
      <c r="D1793" s="22" t="s">
        <v>4325</v>
      </c>
      <c r="E1793" s="22" t="s">
        <v>1306</v>
      </c>
      <c r="F1793" s="22" t="s">
        <v>4326</v>
      </c>
      <c r="G1793" s="23">
        <v>37438</v>
      </c>
      <c r="H1793" s="22" t="s">
        <v>438</v>
      </c>
      <c r="I1793" s="22" t="s">
        <v>40</v>
      </c>
      <c r="J1793" s="22" t="s">
        <v>37</v>
      </c>
      <c r="K1793" s="10" t="str">
        <f ca="1">DATEDIF('DATA PENDUDUK'!$G1793,TODAY(),"Y")&amp; " TAHUN"</f>
        <v>23 TAHUN</v>
      </c>
      <c r="L1793" s="24" t="s">
        <v>4013</v>
      </c>
    </row>
    <row r="1794" spans="1:12" ht="20.100000000000001" customHeight="1" x14ac:dyDescent="0.25">
      <c r="A1794" s="8">
        <f t="shared" si="27"/>
        <v>1791</v>
      </c>
      <c r="B1794" s="21" t="s">
        <v>4327</v>
      </c>
      <c r="C1794" s="21" t="s">
        <v>4328</v>
      </c>
      <c r="D1794" s="22" t="s">
        <v>4329</v>
      </c>
      <c r="E1794" s="22" t="s">
        <v>671</v>
      </c>
      <c r="F1794" s="22" t="s">
        <v>866</v>
      </c>
      <c r="G1794" s="23">
        <v>33395</v>
      </c>
      <c r="H1794" s="22" t="s">
        <v>438</v>
      </c>
      <c r="I1794" s="22" t="s">
        <v>40</v>
      </c>
      <c r="J1794" s="22" t="s">
        <v>20</v>
      </c>
      <c r="K1794" s="10" t="str">
        <f ca="1">DATEDIF('DATA PENDUDUK'!$G1794,TODAY(),"Y")&amp; " TAHUN"</f>
        <v>34 TAHUN</v>
      </c>
      <c r="L1794" s="24" t="s">
        <v>4013</v>
      </c>
    </row>
    <row r="1795" spans="1:12" ht="20.100000000000001" customHeight="1" x14ac:dyDescent="0.25">
      <c r="A1795" s="8">
        <f t="shared" si="27"/>
        <v>1792</v>
      </c>
      <c r="B1795" s="21" t="s">
        <v>4327</v>
      </c>
      <c r="C1795" s="21" t="s">
        <v>4330</v>
      </c>
      <c r="D1795" s="22" t="s">
        <v>4331</v>
      </c>
      <c r="E1795" s="22" t="s">
        <v>671</v>
      </c>
      <c r="F1795" s="22" t="s">
        <v>30</v>
      </c>
      <c r="G1795" s="23">
        <v>42662</v>
      </c>
      <c r="H1795" s="22" t="s">
        <v>438</v>
      </c>
      <c r="I1795" s="22" t="s">
        <v>31</v>
      </c>
      <c r="J1795" s="22" t="s">
        <v>32</v>
      </c>
      <c r="K1795" s="10" t="str">
        <f ca="1">DATEDIF('DATA PENDUDUK'!$G1795,TODAY(),"Y")&amp; " TAHUN"</f>
        <v>8 TAHUN</v>
      </c>
      <c r="L1795" s="24" t="s">
        <v>4013</v>
      </c>
    </row>
    <row r="1796" spans="1:12" ht="20.100000000000001" customHeight="1" x14ac:dyDescent="0.25">
      <c r="A1796" s="8">
        <f t="shared" si="27"/>
        <v>1793</v>
      </c>
      <c r="B1796" s="21" t="s">
        <v>4327</v>
      </c>
      <c r="C1796" s="21" t="s">
        <v>4332</v>
      </c>
      <c r="D1796" s="22" t="s">
        <v>4333</v>
      </c>
      <c r="E1796" s="22" t="s">
        <v>1306</v>
      </c>
      <c r="F1796" s="22" t="s">
        <v>30</v>
      </c>
      <c r="G1796" s="23">
        <v>43059</v>
      </c>
      <c r="H1796" s="22" t="s">
        <v>438</v>
      </c>
      <c r="I1796" s="22" t="s">
        <v>40</v>
      </c>
      <c r="J1796" s="22" t="s">
        <v>32</v>
      </c>
      <c r="K1796" s="10" t="str">
        <f ca="1">DATEDIF('DATA PENDUDUK'!$G1796,TODAY(),"Y")&amp; " TAHUN"</f>
        <v>7 TAHUN</v>
      </c>
      <c r="L1796" s="24" t="s">
        <v>4013</v>
      </c>
    </row>
    <row r="1797" spans="1:12" ht="20.100000000000001" customHeight="1" x14ac:dyDescent="0.25">
      <c r="A1797" s="8">
        <f t="shared" si="27"/>
        <v>1794</v>
      </c>
      <c r="B1797" s="21" t="s">
        <v>4327</v>
      </c>
      <c r="C1797" s="21" t="s">
        <v>4334</v>
      </c>
      <c r="D1797" s="22" t="s">
        <v>4335</v>
      </c>
      <c r="E1797" s="22" t="s">
        <v>1306</v>
      </c>
      <c r="F1797" s="22" t="s">
        <v>30</v>
      </c>
      <c r="G1797" s="23">
        <v>43059</v>
      </c>
      <c r="H1797" s="22" t="s">
        <v>438</v>
      </c>
      <c r="I1797" s="22" t="s">
        <v>40</v>
      </c>
      <c r="J1797" s="22" t="s">
        <v>32</v>
      </c>
      <c r="K1797" s="10" t="str">
        <f ca="1">DATEDIF('DATA PENDUDUK'!$G1797,TODAY(),"Y")&amp; " TAHUN"</f>
        <v>7 TAHUN</v>
      </c>
      <c r="L1797" s="24" t="s">
        <v>4013</v>
      </c>
    </row>
    <row r="1798" spans="1:12" ht="20.100000000000001" customHeight="1" x14ac:dyDescent="0.25">
      <c r="A1798" s="8">
        <f t="shared" ref="A1798:A1861" si="28">IF(D1798="","",ROW()-3)</f>
        <v>1795</v>
      </c>
      <c r="B1798" s="21" t="s">
        <v>4336</v>
      </c>
      <c r="C1798" s="21" t="s">
        <v>4337</v>
      </c>
      <c r="D1798" s="22" t="s">
        <v>4338</v>
      </c>
      <c r="E1798" s="22" t="s">
        <v>671</v>
      </c>
      <c r="F1798" s="22" t="s">
        <v>955</v>
      </c>
      <c r="G1798" s="23">
        <v>26350</v>
      </c>
      <c r="H1798" s="22" t="s">
        <v>438</v>
      </c>
      <c r="I1798" s="22" t="s">
        <v>36</v>
      </c>
      <c r="J1798" s="22" t="s">
        <v>20</v>
      </c>
      <c r="K1798" s="10" t="str">
        <f ca="1">DATEDIF('DATA PENDUDUK'!$G1798,TODAY(),"Y")&amp; " TAHUN"</f>
        <v>53 TAHUN</v>
      </c>
      <c r="L1798" s="24" t="s">
        <v>4013</v>
      </c>
    </row>
    <row r="1799" spans="1:12" ht="20.100000000000001" customHeight="1" x14ac:dyDescent="0.25">
      <c r="A1799" s="8">
        <f t="shared" si="28"/>
        <v>1796</v>
      </c>
      <c r="B1799" s="21" t="s">
        <v>4336</v>
      </c>
      <c r="C1799" s="21" t="s">
        <v>4339</v>
      </c>
      <c r="D1799" s="22" t="s">
        <v>4340</v>
      </c>
      <c r="E1799" s="22" t="s">
        <v>1306</v>
      </c>
      <c r="F1799" s="22" t="s">
        <v>955</v>
      </c>
      <c r="G1799" s="23">
        <v>28128</v>
      </c>
      <c r="H1799" s="22" t="s">
        <v>438</v>
      </c>
      <c r="I1799" s="22" t="s">
        <v>26</v>
      </c>
      <c r="J1799" s="22" t="s">
        <v>27</v>
      </c>
      <c r="K1799" s="10" t="str">
        <f ca="1">DATEDIF('DATA PENDUDUK'!$G1799,TODAY(),"Y")&amp; " TAHUN"</f>
        <v>48 TAHUN</v>
      </c>
      <c r="L1799" s="24" t="s">
        <v>4013</v>
      </c>
    </row>
    <row r="1800" spans="1:12" ht="20.100000000000001" customHeight="1" x14ac:dyDescent="0.25">
      <c r="A1800" s="8">
        <f t="shared" si="28"/>
        <v>1797</v>
      </c>
      <c r="B1800" s="21" t="s">
        <v>4336</v>
      </c>
      <c r="C1800" s="21" t="s">
        <v>4341</v>
      </c>
      <c r="D1800" s="22" t="s">
        <v>4342</v>
      </c>
      <c r="E1800" s="22" t="s">
        <v>671</v>
      </c>
      <c r="F1800" s="22" t="s">
        <v>955</v>
      </c>
      <c r="G1800" s="23">
        <v>32996</v>
      </c>
      <c r="H1800" s="22" t="s">
        <v>438</v>
      </c>
      <c r="I1800" s="22" t="s">
        <v>40</v>
      </c>
      <c r="J1800" s="22" t="s">
        <v>32</v>
      </c>
      <c r="K1800" s="10" t="str">
        <f ca="1">DATEDIF('DATA PENDUDUK'!$G1800,TODAY(),"Y")&amp; " TAHUN"</f>
        <v>35 TAHUN</v>
      </c>
      <c r="L1800" s="24" t="s">
        <v>4013</v>
      </c>
    </row>
    <row r="1801" spans="1:12" ht="20.100000000000001" customHeight="1" x14ac:dyDescent="0.25">
      <c r="A1801" s="8">
        <f t="shared" si="28"/>
        <v>1798</v>
      </c>
      <c r="B1801" s="21" t="s">
        <v>4336</v>
      </c>
      <c r="C1801" s="21" t="s">
        <v>4343</v>
      </c>
      <c r="D1801" s="22" t="s">
        <v>4344</v>
      </c>
      <c r="E1801" s="22" t="s">
        <v>1306</v>
      </c>
      <c r="F1801" s="22" t="s">
        <v>376</v>
      </c>
      <c r="G1801" s="23">
        <v>35492</v>
      </c>
      <c r="H1801" s="22" t="s">
        <v>438</v>
      </c>
      <c r="I1801" s="22" t="s">
        <v>40</v>
      </c>
      <c r="J1801" s="22" t="s">
        <v>32</v>
      </c>
      <c r="K1801" s="10" t="str">
        <f ca="1">DATEDIF('DATA PENDUDUK'!$G1801,TODAY(),"Y")&amp; " TAHUN"</f>
        <v>28 TAHUN</v>
      </c>
      <c r="L1801" s="24" t="s">
        <v>4013</v>
      </c>
    </row>
    <row r="1802" spans="1:12" ht="20.100000000000001" customHeight="1" x14ac:dyDescent="0.25">
      <c r="A1802" s="8">
        <f t="shared" si="28"/>
        <v>1799</v>
      </c>
      <c r="B1802" s="21" t="s">
        <v>4336</v>
      </c>
      <c r="C1802" s="21" t="s">
        <v>4345</v>
      </c>
      <c r="D1802" s="22" t="s">
        <v>4346</v>
      </c>
      <c r="E1802" s="22" t="s">
        <v>1306</v>
      </c>
      <c r="F1802" s="22" t="s">
        <v>376</v>
      </c>
      <c r="G1802" s="23">
        <v>36223</v>
      </c>
      <c r="H1802" s="22" t="s">
        <v>438</v>
      </c>
      <c r="I1802" s="22" t="s">
        <v>40</v>
      </c>
      <c r="J1802" s="22" t="s">
        <v>32</v>
      </c>
      <c r="K1802" s="10" t="str">
        <f ca="1">DATEDIF('DATA PENDUDUK'!$G1802,TODAY(),"Y")&amp; " TAHUN"</f>
        <v>26 TAHUN</v>
      </c>
      <c r="L1802" s="24" t="s">
        <v>4013</v>
      </c>
    </row>
    <row r="1803" spans="1:12" ht="20.100000000000001" customHeight="1" x14ac:dyDescent="0.25">
      <c r="A1803" s="8">
        <f t="shared" si="28"/>
        <v>1800</v>
      </c>
      <c r="B1803" s="21" t="s">
        <v>4336</v>
      </c>
      <c r="C1803" s="21" t="s">
        <v>4347</v>
      </c>
      <c r="D1803" s="22" t="s">
        <v>4348</v>
      </c>
      <c r="E1803" s="22" t="s">
        <v>1306</v>
      </c>
      <c r="F1803" s="22" t="s">
        <v>376</v>
      </c>
      <c r="G1803" s="23">
        <v>37051</v>
      </c>
      <c r="H1803" s="22" t="s">
        <v>438</v>
      </c>
      <c r="I1803" s="22" t="s">
        <v>40</v>
      </c>
      <c r="J1803" s="22" t="s">
        <v>32</v>
      </c>
      <c r="K1803" s="10" t="str">
        <f ca="1">DATEDIF('DATA PENDUDUK'!$G1803,TODAY(),"Y")&amp; " TAHUN"</f>
        <v>24 TAHUN</v>
      </c>
      <c r="L1803" s="24" t="s">
        <v>4013</v>
      </c>
    </row>
    <row r="1804" spans="1:12" ht="20.100000000000001" customHeight="1" x14ac:dyDescent="0.25">
      <c r="A1804" s="8">
        <f t="shared" si="28"/>
        <v>1801</v>
      </c>
      <c r="B1804" s="21" t="s">
        <v>4336</v>
      </c>
      <c r="C1804" s="21" t="s">
        <v>4349</v>
      </c>
      <c r="D1804" s="22" t="s">
        <v>4350</v>
      </c>
      <c r="E1804" s="22" t="s">
        <v>1306</v>
      </c>
      <c r="F1804" s="22" t="s">
        <v>376</v>
      </c>
      <c r="G1804" s="23">
        <v>38294</v>
      </c>
      <c r="H1804" s="22" t="s">
        <v>438</v>
      </c>
      <c r="I1804" s="22" t="s">
        <v>40</v>
      </c>
      <c r="J1804" s="22" t="s">
        <v>32</v>
      </c>
      <c r="K1804" s="10" t="str">
        <f ca="1">DATEDIF('DATA PENDUDUK'!$G1804,TODAY(),"Y")&amp; " TAHUN"</f>
        <v>20 TAHUN</v>
      </c>
      <c r="L1804" s="24" t="s">
        <v>4013</v>
      </c>
    </row>
    <row r="1805" spans="1:12" ht="20.100000000000001" customHeight="1" x14ac:dyDescent="0.25">
      <c r="A1805" s="8">
        <f t="shared" si="28"/>
        <v>1802</v>
      </c>
      <c r="B1805" s="21" t="s">
        <v>4336</v>
      </c>
      <c r="C1805" s="21" t="s">
        <v>4351</v>
      </c>
      <c r="D1805" s="22" t="s">
        <v>4352</v>
      </c>
      <c r="E1805" s="22" t="s">
        <v>671</v>
      </c>
      <c r="F1805" s="22" t="s">
        <v>376</v>
      </c>
      <c r="G1805" s="23">
        <v>39417</v>
      </c>
      <c r="H1805" s="22" t="s">
        <v>438</v>
      </c>
      <c r="I1805" s="22" t="s">
        <v>31</v>
      </c>
      <c r="J1805" s="22" t="s">
        <v>32</v>
      </c>
      <c r="K1805" s="10" t="str">
        <f ca="1">DATEDIF('DATA PENDUDUK'!$G1805,TODAY(),"Y")&amp; " TAHUN"</f>
        <v>17 TAHUN</v>
      </c>
      <c r="L1805" s="24" t="s">
        <v>4013</v>
      </c>
    </row>
    <row r="1806" spans="1:12" ht="20.100000000000001" customHeight="1" x14ac:dyDescent="0.25">
      <c r="A1806" s="8">
        <f t="shared" si="28"/>
        <v>1803</v>
      </c>
      <c r="B1806" s="21" t="s">
        <v>4336</v>
      </c>
      <c r="C1806" s="21" t="s">
        <v>4353</v>
      </c>
      <c r="D1806" s="22" t="s">
        <v>4354</v>
      </c>
      <c r="E1806" s="22" t="s">
        <v>671</v>
      </c>
      <c r="F1806" s="22" t="s">
        <v>376</v>
      </c>
      <c r="G1806" s="23">
        <v>39417</v>
      </c>
      <c r="H1806" s="22" t="s">
        <v>438</v>
      </c>
      <c r="I1806" s="22" t="s">
        <v>31</v>
      </c>
      <c r="J1806" s="22" t="s">
        <v>32</v>
      </c>
      <c r="K1806" s="10" t="str">
        <f ca="1">DATEDIF('DATA PENDUDUK'!$G1806,TODAY(),"Y")&amp; " TAHUN"</f>
        <v>17 TAHUN</v>
      </c>
      <c r="L1806" s="24" t="s">
        <v>4013</v>
      </c>
    </row>
    <row r="1807" spans="1:12" ht="20.100000000000001" customHeight="1" x14ac:dyDescent="0.25">
      <c r="A1807" s="8">
        <f t="shared" si="28"/>
        <v>1804</v>
      </c>
      <c r="B1807" s="21" t="s">
        <v>4336</v>
      </c>
      <c r="C1807" s="21" t="s">
        <v>4355</v>
      </c>
      <c r="D1807" s="22" t="s">
        <v>4356</v>
      </c>
      <c r="E1807" s="22" t="s">
        <v>1306</v>
      </c>
      <c r="F1807" s="22" t="s">
        <v>955</v>
      </c>
      <c r="G1807" s="23">
        <v>32977</v>
      </c>
      <c r="H1807" s="22" t="s">
        <v>438</v>
      </c>
      <c r="I1807" s="22" t="s">
        <v>26</v>
      </c>
      <c r="J1807" s="22" t="s">
        <v>37</v>
      </c>
      <c r="K1807" s="10" t="str">
        <f ca="1">DATEDIF('DATA PENDUDUK'!$G1807,TODAY(),"Y")&amp; " TAHUN"</f>
        <v>35 TAHUN</v>
      </c>
      <c r="L1807" s="24" t="s">
        <v>4013</v>
      </c>
    </row>
    <row r="1808" spans="1:12" ht="20.100000000000001" customHeight="1" x14ac:dyDescent="0.25">
      <c r="A1808" s="8">
        <f t="shared" si="28"/>
        <v>1805</v>
      </c>
      <c r="B1808" s="21" t="s">
        <v>4357</v>
      </c>
      <c r="C1808" s="21" t="s">
        <v>4358</v>
      </c>
      <c r="D1808" s="22" t="s">
        <v>4359</v>
      </c>
      <c r="E1808" s="22" t="s">
        <v>671</v>
      </c>
      <c r="F1808" s="22" t="s">
        <v>4360</v>
      </c>
      <c r="G1808" s="23">
        <v>21796</v>
      </c>
      <c r="H1808" s="22" t="s">
        <v>438</v>
      </c>
      <c r="I1808" s="22" t="s">
        <v>36</v>
      </c>
      <c r="J1808" s="22" t="s">
        <v>20</v>
      </c>
      <c r="K1808" s="10" t="str">
        <f ca="1">DATEDIF('DATA PENDUDUK'!$G1808,TODAY(),"Y")&amp; " TAHUN"</f>
        <v>65 TAHUN</v>
      </c>
      <c r="L1808" s="24" t="s">
        <v>4013</v>
      </c>
    </row>
    <row r="1809" spans="1:12" ht="20.100000000000001" customHeight="1" x14ac:dyDescent="0.25">
      <c r="A1809" s="8">
        <f t="shared" si="28"/>
        <v>1806</v>
      </c>
      <c r="B1809" s="21" t="s">
        <v>4357</v>
      </c>
      <c r="C1809" s="21" t="s">
        <v>4361</v>
      </c>
      <c r="D1809" s="22" t="s">
        <v>4362</v>
      </c>
      <c r="E1809" s="22" t="s">
        <v>1306</v>
      </c>
      <c r="F1809" s="22" t="s">
        <v>955</v>
      </c>
      <c r="G1809" s="23">
        <v>24853</v>
      </c>
      <c r="H1809" s="22" t="s">
        <v>438</v>
      </c>
      <c r="I1809" s="22" t="s">
        <v>26</v>
      </c>
      <c r="J1809" s="22" t="s">
        <v>27</v>
      </c>
      <c r="K1809" s="10" t="str">
        <f ca="1">DATEDIF('DATA PENDUDUK'!$G1809,TODAY(),"Y")&amp; " TAHUN"</f>
        <v>57 TAHUN</v>
      </c>
      <c r="L1809" s="24" t="s">
        <v>4013</v>
      </c>
    </row>
    <row r="1810" spans="1:12" ht="20.100000000000001" customHeight="1" x14ac:dyDescent="0.25">
      <c r="A1810" s="8">
        <f t="shared" si="28"/>
        <v>1807</v>
      </c>
      <c r="B1810" s="21" t="s">
        <v>4357</v>
      </c>
      <c r="C1810" s="21" t="s">
        <v>4363</v>
      </c>
      <c r="D1810" s="22" t="s">
        <v>4364</v>
      </c>
      <c r="E1810" s="22" t="s">
        <v>671</v>
      </c>
      <c r="F1810" s="22" t="s">
        <v>955</v>
      </c>
      <c r="G1810" s="23">
        <v>32249</v>
      </c>
      <c r="H1810" s="22" t="s">
        <v>438</v>
      </c>
      <c r="I1810" s="22" t="s">
        <v>19</v>
      </c>
      <c r="J1810" s="22" t="s">
        <v>32</v>
      </c>
      <c r="K1810" s="10" t="str">
        <f ca="1">DATEDIF('DATA PENDUDUK'!$G1810,TODAY(),"Y")&amp; " TAHUN"</f>
        <v>37 TAHUN</v>
      </c>
      <c r="L1810" s="24" t="s">
        <v>4013</v>
      </c>
    </row>
    <row r="1811" spans="1:12" ht="20.100000000000001" customHeight="1" x14ac:dyDescent="0.25">
      <c r="A1811" s="8">
        <f t="shared" si="28"/>
        <v>1808</v>
      </c>
      <c r="B1811" s="21" t="s">
        <v>4357</v>
      </c>
      <c r="C1811" s="21" t="s">
        <v>4365</v>
      </c>
      <c r="D1811" s="22" t="s">
        <v>4366</v>
      </c>
      <c r="E1811" s="22" t="s">
        <v>1306</v>
      </c>
      <c r="F1811" s="22" t="s">
        <v>681</v>
      </c>
      <c r="G1811" s="23">
        <v>39244</v>
      </c>
      <c r="H1811" s="22" t="s">
        <v>438</v>
      </c>
      <c r="I1811" s="22" t="s">
        <v>40</v>
      </c>
      <c r="J1811" s="22" t="s">
        <v>32</v>
      </c>
      <c r="K1811" s="10" t="str">
        <f ca="1">DATEDIF('DATA PENDUDUK'!$G1811,TODAY(),"Y")&amp; " TAHUN"</f>
        <v>18 TAHUN</v>
      </c>
      <c r="L1811" s="24" t="s">
        <v>4013</v>
      </c>
    </row>
    <row r="1812" spans="1:12" ht="20.100000000000001" customHeight="1" x14ac:dyDescent="0.25">
      <c r="A1812" s="8">
        <f t="shared" si="28"/>
        <v>1809</v>
      </c>
      <c r="B1812" s="21" t="s">
        <v>4357</v>
      </c>
      <c r="C1812" s="21" t="s">
        <v>4367</v>
      </c>
      <c r="D1812" s="22" t="s">
        <v>4368</v>
      </c>
      <c r="E1812" s="22" t="s">
        <v>671</v>
      </c>
      <c r="F1812" s="22" t="s">
        <v>1134</v>
      </c>
      <c r="G1812" s="23">
        <v>32236</v>
      </c>
      <c r="H1812" s="22" t="s">
        <v>438</v>
      </c>
      <c r="I1812" s="22" t="s">
        <v>36</v>
      </c>
      <c r="J1812" s="22" t="s">
        <v>37</v>
      </c>
      <c r="K1812" s="10" t="str">
        <f ca="1">DATEDIF('DATA PENDUDUK'!$G1812,TODAY(),"Y")&amp; " TAHUN"</f>
        <v>37 TAHUN</v>
      </c>
      <c r="L1812" s="24" t="s">
        <v>4013</v>
      </c>
    </row>
    <row r="1813" spans="1:12" ht="20.100000000000001" customHeight="1" x14ac:dyDescent="0.25">
      <c r="A1813" s="8">
        <f t="shared" si="28"/>
        <v>1810</v>
      </c>
      <c r="B1813" s="21" t="s">
        <v>4369</v>
      </c>
      <c r="C1813" s="21" t="s">
        <v>4370</v>
      </c>
      <c r="D1813" s="22" t="s">
        <v>4371</v>
      </c>
      <c r="E1813" s="22" t="s">
        <v>671</v>
      </c>
      <c r="F1813" s="22" t="s">
        <v>780</v>
      </c>
      <c r="G1813" s="23">
        <v>29373</v>
      </c>
      <c r="H1813" s="22" t="s">
        <v>438</v>
      </c>
      <c r="I1813" s="22" t="s">
        <v>36</v>
      </c>
      <c r="J1813" s="22" t="s">
        <v>20</v>
      </c>
      <c r="K1813" s="10" t="str">
        <f ca="1">DATEDIF('DATA PENDUDUK'!$G1813,TODAY(),"Y")&amp; " TAHUN"</f>
        <v>45 TAHUN</v>
      </c>
      <c r="L1813" s="24" t="s">
        <v>4013</v>
      </c>
    </row>
    <row r="1814" spans="1:12" ht="20.100000000000001" customHeight="1" x14ac:dyDescent="0.25">
      <c r="A1814" s="8">
        <f t="shared" si="28"/>
        <v>1811</v>
      </c>
      <c r="B1814" s="21" t="s">
        <v>4369</v>
      </c>
      <c r="C1814" s="21" t="s">
        <v>4372</v>
      </c>
      <c r="D1814" s="22" t="s">
        <v>4373</v>
      </c>
      <c r="E1814" s="22" t="s">
        <v>1306</v>
      </c>
      <c r="F1814" s="22" t="s">
        <v>780</v>
      </c>
      <c r="G1814" s="23">
        <v>31386</v>
      </c>
      <c r="H1814" s="22" t="s">
        <v>438</v>
      </c>
      <c r="I1814" s="22" t="s">
        <v>36</v>
      </c>
      <c r="J1814" s="22" t="s">
        <v>27</v>
      </c>
      <c r="K1814" s="10" t="str">
        <f ca="1">DATEDIF('DATA PENDUDUK'!$G1814,TODAY(),"Y")&amp; " TAHUN"</f>
        <v>39 TAHUN</v>
      </c>
      <c r="L1814" s="24" t="s">
        <v>4013</v>
      </c>
    </row>
    <row r="1815" spans="1:12" ht="20.100000000000001" customHeight="1" x14ac:dyDescent="0.25">
      <c r="A1815" s="8">
        <f t="shared" si="28"/>
        <v>1812</v>
      </c>
      <c r="B1815" s="21" t="s">
        <v>4369</v>
      </c>
      <c r="C1815" s="21" t="s">
        <v>4374</v>
      </c>
      <c r="D1815" s="22" t="s">
        <v>4375</v>
      </c>
      <c r="E1815" s="22" t="s">
        <v>671</v>
      </c>
      <c r="F1815" s="22" t="s">
        <v>780</v>
      </c>
      <c r="G1815" s="23">
        <v>33344</v>
      </c>
      <c r="H1815" s="22" t="s">
        <v>438</v>
      </c>
      <c r="I1815" s="22" t="s">
        <v>40</v>
      </c>
      <c r="J1815" s="22" t="s">
        <v>32</v>
      </c>
      <c r="K1815" s="10" t="str">
        <f ca="1">DATEDIF('DATA PENDUDUK'!$G1815,TODAY(),"Y")&amp; " TAHUN"</f>
        <v>34 TAHUN</v>
      </c>
      <c r="L1815" s="24" t="s">
        <v>4013</v>
      </c>
    </row>
    <row r="1816" spans="1:12" ht="20.100000000000001" customHeight="1" x14ac:dyDescent="0.25">
      <c r="A1816" s="8">
        <f t="shared" si="28"/>
        <v>1813</v>
      </c>
      <c r="B1816" s="21" t="s">
        <v>4369</v>
      </c>
      <c r="C1816" s="21" t="s">
        <v>4376</v>
      </c>
      <c r="D1816" s="22" t="s">
        <v>4377</v>
      </c>
      <c r="E1816" s="22" t="s">
        <v>671</v>
      </c>
      <c r="F1816" s="22" t="s">
        <v>780</v>
      </c>
      <c r="G1816" s="23">
        <v>39539</v>
      </c>
      <c r="H1816" s="22" t="s">
        <v>438</v>
      </c>
      <c r="I1816" s="22" t="s">
        <v>40</v>
      </c>
      <c r="J1816" s="22" t="s">
        <v>32</v>
      </c>
      <c r="K1816" s="10" t="str">
        <f ca="1">DATEDIF('DATA PENDUDUK'!$G1816,TODAY(),"Y")&amp; " TAHUN"</f>
        <v>17 TAHUN</v>
      </c>
      <c r="L1816" s="24" t="s">
        <v>4013</v>
      </c>
    </row>
    <row r="1817" spans="1:12" ht="20.100000000000001" customHeight="1" x14ac:dyDescent="0.25">
      <c r="A1817" s="8">
        <f t="shared" si="28"/>
        <v>1814</v>
      </c>
      <c r="B1817" s="21" t="s">
        <v>4369</v>
      </c>
      <c r="C1817" s="21" t="s">
        <v>4378</v>
      </c>
      <c r="D1817" s="22" t="s">
        <v>4379</v>
      </c>
      <c r="E1817" s="22" t="s">
        <v>671</v>
      </c>
      <c r="F1817" s="22" t="s">
        <v>780</v>
      </c>
      <c r="G1817" s="23">
        <v>39845</v>
      </c>
      <c r="H1817" s="22" t="s">
        <v>438</v>
      </c>
      <c r="I1817" s="22" t="s">
        <v>40</v>
      </c>
      <c r="J1817" s="22" t="s">
        <v>32</v>
      </c>
      <c r="K1817" s="10" t="str">
        <f ca="1">DATEDIF('DATA PENDUDUK'!$G1817,TODAY(),"Y")&amp; " TAHUN"</f>
        <v>16 TAHUN</v>
      </c>
      <c r="L1817" s="24" t="s">
        <v>4013</v>
      </c>
    </row>
    <row r="1818" spans="1:12" ht="20.100000000000001" customHeight="1" x14ac:dyDescent="0.25">
      <c r="A1818" s="8">
        <f t="shared" si="28"/>
        <v>1815</v>
      </c>
      <c r="B1818" s="21" t="s">
        <v>4380</v>
      </c>
      <c r="C1818" s="21" t="s">
        <v>4381</v>
      </c>
      <c r="D1818" s="22" t="s">
        <v>4382</v>
      </c>
      <c r="E1818" s="22" t="s">
        <v>671</v>
      </c>
      <c r="F1818" s="22" t="s">
        <v>4383</v>
      </c>
      <c r="G1818" s="23">
        <v>24654</v>
      </c>
      <c r="H1818" s="22" t="s">
        <v>438</v>
      </c>
      <c r="I1818" s="22" t="s">
        <v>36</v>
      </c>
      <c r="J1818" s="22" t="s">
        <v>20</v>
      </c>
      <c r="K1818" s="10" t="str">
        <f ca="1">DATEDIF('DATA PENDUDUK'!$G1818,TODAY(),"Y")&amp; " TAHUN"</f>
        <v>58 TAHUN</v>
      </c>
      <c r="L1818" s="24" t="s">
        <v>4013</v>
      </c>
    </row>
    <row r="1819" spans="1:12" ht="20.100000000000001" customHeight="1" x14ac:dyDescent="0.25">
      <c r="A1819" s="8">
        <f t="shared" si="28"/>
        <v>1816</v>
      </c>
      <c r="B1819" s="21" t="s">
        <v>4380</v>
      </c>
      <c r="C1819" s="21" t="s">
        <v>4384</v>
      </c>
      <c r="D1819" s="22" t="s">
        <v>2642</v>
      </c>
      <c r="E1819" s="22" t="s">
        <v>1306</v>
      </c>
      <c r="F1819" s="22" t="s">
        <v>780</v>
      </c>
      <c r="G1819" s="23">
        <v>26368</v>
      </c>
      <c r="H1819" s="22" t="s">
        <v>438</v>
      </c>
      <c r="I1819" s="22" t="s">
        <v>36</v>
      </c>
      <c r="J1819" s="22" t="s">
        <v>27</v>
      </c>
      <c r="K1819" s="10" t="str">
        <f ca="1">DATEDIF('DATA PENDUDUK'!$G1819,TODAY(),"Y")&amp; " TAHUN"</f>
        <v>53 TAHUN</v>
      </c>
      <c r="L1819" s="24" t="s">
        <v>4013</v>
      </c>
    </row>
    <row r="1820" spans="1:12" ht="20.100000000000001" customHeight="1" x14ac:dyDescent="0.25">
      <c r="A1820" s="8">
        <f t="shared" si="28"/>
        <v>1817</v>
      </c>
      <c r="B1820" s="21" t="s">
        <v>4380</v>
      </c>
      <c r="C1820" s="21" t="s">
        <v>4385</v>
      </c>
      <c r="D1820" s="22" t="s">
        <v>4386</v>
      </c>
      <c r="E1820" s="22" t="s">
        <v>671</v>
      </c>
      <c r="F1820" s="22" t="s">
        <v>681</v>
      </c>
      <c r="G1820" s="23">
        <v>34881</v>
      </c>
      <c r="H1820" s="22" t="s">
        <v>438</v>
      </c>
      <c r="I1820" s="22" t="s">
        <v>40</v>
      </c>
      <c r="J1820" s="22" t="s">
        <v>32</v>
      </c>
      <c r="K1820" s="10" t="str">
        <f ca="1">DATEDIF('DATA PENDUDUK'!$G1820,TODAY(),"Y")&amp; " TAHUN"</f>
        <v>30 TAHUN</v>
      </c>
      <c r="L1820" s="24" t="s">
        <v>4013</v>
      </c>
    </row>
    <row r="1821" spans="1:12" ht="20.100000000000001" customHeight="1" x14ac:dyDescent="0.25">
      <c r="A1821" s="8">
        <f t="shared" si="28"/>
        <v>1818</v>
      </c>
      <c r="B1821" s="21" t="s">
        <v>4380</v>
      </c>
      <c r="C1821" s="21" t="s">
        <v>4387</v>
      </c>
      <c r="D1821" s="22" t="s">
        <v>4388</v>
      </c>
      <c r="E1821" s="22" t="s">
        <v>671</v>
      </c>
      <c r="F1821" s="22" t="s">
        <v>780</v>
      </c>
      <c r="G1821" s="23">
        <v>35013</v>
      </c>
      <c r="H1821" s="22" t="s">
        <v>438</v>
      </c>
      <c r="I1821" s="22" t="s">
        <v>40</v>
      </c>
      <c r="J1821" s="22" t="s">
        <v>32</v>
      </c>
      <c r="K1821" s="10" t="str">
        <f ca="1">DATEDIF('DATA PENDUDUK'!$G1821,TODAY(),"Y")&amp; " TAHUN"</f>
        <v>29 TAHUN</v>
      </c>
      <c r="L1821" s="24" t="s">
        <v>4013</v>
      </c>
    </row>
    <row r="1822" spans="1:12" ht="20.100000000000001" customHeight="1" x14ac:dyDescent="0.25">
      <c r="A1822" s="8">
        <f t="shared" si="28"/>
        <v>1819</v>
      </c>
      <c r="B1822" s="21" t="s">
        <v>4380</v>
      </c>
      <c r="C1822" s="21" t="s">
        <v>4389</v>
      </c>
      <c r="D1822" s="22" t="s">
        <v>4390</v>
      </c>
      <c r="E1822" s="22" t="s">
        <v>671</v>
      </c>
      <c r="F1822" s="22" t="s">
        <v>780</v>
      </c>
      <c r="G1822" s="23">
        <v>35581</v>
      </c>
      <c r="H1822" s="22" t="s">
        <v>438</v>
      </c>
      <c r="I1822" s="22" t="s">
        <v>40</v>
      </c>
      <c r="J1822" s="22" t="s">
        <v>32</v>
      </c>
      <c r="K1822" s="10" t="str">
        <f ca="1">DATEDIF('DATA PENDUDUK'!$G1822,TODAY(),"Y")&amp; " TAHUN"</f>
        <v>28 TAHUN</v>
      </c>
      <c r="L1822" s="24" t="s">
        <v>4013</v>
      </c>
    </row>
    <row r="1823" spans="1:12" ht="20.100000000000001" customHeight="1" x14ac:dyDescent="0.25">
      <c r="A1823" s="8">
        <f t="shared" si="28"/>
        <v>1820</v>
      </c>
      <c r="B1823" s="21" t="s">
        <v>4380</v>
      </c>
      <c r="C1823" s="21" t="s">
        <v>4391</v>
      </c>
      <c r="D1823" s="22" t="s">
        <v>4392</v>
      </c>
      <c r="E1823" s="22" t="s">
        <v>671</v>
      </c>
      <c r="F1823" s="22" t="s">
        <v>681</v>
      </c>
      <c r="G1823" s="23">
        <v>36342</v>
      </c>
      <c r="H1823" s="22" t="s">
        <v>438</v>
      </c>
      <c r="I1823" s="22" t="s">
        <v>40</v>
      </c>
      <c r="J1823" s="22" t="s">
        <v>32</v>
      </c>
      <c r="K1823" s="10" t="str">
        <f ca="1">DATEDIF('DATA PENDUDUK'!$G1823,TODAY(),"Y")&amp; " TAHUN"</f>
        <v>26 TAHUN</v>
      </c>
      <c r="L1823" s="24" t="s">
        <v>4013</v>
      </c>
    </row>
    <row r="1824" spans="1:12" ht="20.100000000000001" customHeight="1" x14ac:dyDescent="0.25">
      <c r="A1824" s="8">
        <f t="shared" si="28"/>
        <v>1821</v>
      </c>
      <c r="B1824" s="21" t="s">
        <v>4393</v>
      </c>
      <c r="C1824" s="21" t="s">
        <v>4394</v>
      </c>
      <c r="D1824" s="22" t="s">
        <v>4395</v>
      </c>
      <c r="E1824" s="22" t="s">
        <v>671</v>
      </c>
      <c r="F1824" s="22" t="s">
        <v>4067</v>
      </c>
      <c r="G1824" s="23">
        <v>26096</v>
      </c>
      <c r="H1824" s="22" t="s">
        <v>438</v>
      </c>
      <c r="I1824" s="22" t="s">
        <v>73</v>
      </c>
      <c r="J1824" s="22" t="s">
        <v>20</v>
      </c>
      <c r="K1824" s="10" t="str">
        <f ca="1">DATEDIF('DATA PENDUDUK'!$G1824,TODAY(),"Y")&amp; " TAHUN"</f>
        <v>54 TAHUN</v>
      </c>
      <c r="L1824" s="24" t="s">
        <v>4013</v>
      </c>
    </row>
    <row r="1825" spans="1:12" ht="20.100000000000001" customHeight="1" x14ac:dyDescent="0.25">
      <c r="A1825" s="8">
        <f t="shared" si="28"/>
        <v>1822</v>
      </c>
      <c r="B1825" s="21" t="s">
        <v>4393</v>
      </c>
      <c r="C1825" s="21" t="s">
        <v>4396</v>
      </c>
      <c r="D1825" s="22" t="s">
        <v>4397</v>
      </c>
      <c r="E1825" s="22" t="s">
        <v>1306</v>
      </c>
      <c r="F1825" s="22" t="s">
        <v>768</v>
      </c>
      <c r="G1825" s="23">
        <v>28594</v>
      </c>
      <c r="H1825" s="22" t="s">
        <v>438</v>
      </c>
      <c r="I1825" s="22" t="s">
        <v>26</v>
      </c>
      <c r="J1825" s="22" t="s">
        <v>27</v>
      </c>
      <c r="K1825" s="10" t="str">
        <f ca="1">DATEDIF('DATA PENDUDUK'!$G1825,TODAY(),"Y")&amp; " TAHUN"</f>
        <v>47 TAHUN</v>
      </c>
      <c r="L1825" s="24" t="s">
        <v>4013</v>
      </c>
    </row>
    <row r="1826" spans="1:12" ht="20.100000000000001" customHeight="1" x14ac:dyDescent="0.25">
      <c r="A1826" s="8">
        <f t="shared" si="28"/>
        <v>1823</v>
      </c>
      <c r="B1826" s="21" t="s">
        <v>4393</v>
      </c>
      <c r="C1826" s="21" t="s">
        <v>4398</v>
      </c>
      <c r="D1826" s="22" t="s">
        <v>4399</v>
      </c>
      <c r="E1826" s="22" t="s">
        <v>671</v>
      </c>
      <c r="F1826" s="22" t="s">
        <v>30</v>
      </c>
      <c r="G1826" s="23">
        <v>35159</v>
      </c>
      <c r="H1826" s="22" t="s">
        <v>438</v>
      </c>
      <c r="I1826" s="22" t="s">
        <v>40</v>
      </c>
      <c r="J1826" s="22" t="s">
        <v>32</v>
      </c>
      <c r="K1826" s="10" t="str">
        <f ca="1">DATEDIF('DATA PENDUDUK'!$G1826,TODAY(),"Y")&amp; " TAHUN"</f>
        <v>29 TAHUN</v>
      </c>
      <c r="L1826" s="24" t="s">
        <v>4013</v>
      </c>
    </row>
    <row r="1827" spans="1:12" ht="20.100000000000001" customHeight="1" x14ac:dyDescent="0.25">
      <c r="A1827" s="8">
        <f t="shared" si="28"/>
        <v>1824</v>
      </c>
      <c r="B1827" s="21" t="s">
        <v>4393</v>
      </c>
      <c r="C1827" s="21" t="s">
        <v>4400</v>
      </c>
      <c r="D1827" s="22" t="s">
        <v>4401</v>
      </c>
      <c r="E1827" s="22" t="s">
        <v>671</v>
      </c>
      <c r="F1827" s="22" t="s">
        <v>30</v>
      </c>
      <c r="G1827" s="23">
        <v>37971</v>
      </c>
      <c r="H1827" s="22" t="s">
        <v>438</v>
      </c>
      <c r="I1827" s="22" t="s">
        <v>40</v>
      </c>
      <c r="J1827" s="22" t="s">
        <v>32</v>
      </c>
      <c r="K1827" s="10" t="str">
        <f ca="1">DATEDIF('DATA PENDUDUK'!$G1827,TODAY(),"Y")&amp; " TAHUN"</f>
        <v>21 TAHUN</v>
      </c>
      <c r="L1827" s="24" t="s">
        <v>4013</v>
      </c>
    </row>
    <row r="1828" spans="1:12" ht="20.100000000000001" customHeight="1" x14ac:dyDescent="0.25">
      <c r="A1828" s="8">
        <f t="shared" si="28"/>
        <v>1825</v>
      </c>
      <c r="B1828" s="21" t="s">
        <v>4393</v>
      </c>
      <c r="C1828" s="21" t="s">
        <v>4402</v>
      </c>
      <c r="D1828" s="22" t="s">
        <v>4403</v>
      </c>
      <c r="E1828" s="22" t="s">
        <v>671</v>
      </c>
      <c r="F1828" s="22" t="s">
        <v>376</v>
      </c>
      <c r="G1828" s="23">
        <v>38818</v>
      </c>
      <c r="H1828" s="22" t="s">
        <v>438</v>
      </c>
      <c r="I1828" s="22" t="s">
        <v>40</v>
      </c>
      <c r="J1828" s="22" t="s">
        <v>32</v>
      </c>
      <c r="K1828" s="10" t="str">
        <f ca="1">DATEDIF('DATA PENDUDUK'!$G1828,TODAY(),"Y")&amp; " TAHUN"</f>
        <v>19 TAHUN</v>
      </c>
      <c r="L1828" s="24" t="s">
        <v>4013</v>
      </c>
    </row>
    <row r="1829" spans="1:12" ht="20.100000000000001" customHeight="1" x14ac:dyDescent="0.25">
      <c r="A1829" s="8">
        <f t="shared" si="28"/>
        <v>1826</v>
      </c>
      <c r="B1829" s="21" t="s">
        <v>4393</v>
      </c>
      <c r="C1829" s="21" t="s">
        <v>4404</v>
      </c>
      <c r="D1829" s="22" t="s">
        <v>4405</v>
      </c>
      <c r="E1829" s="22" t="s">
        <v>671</v>
      </c>
      <c r="F1829" s="22" t="s">
        <v>376</v>
      </c>
      <c r="G1829" s="23">
        <v>39163</v>
      </c>
      <c r="H1829" s="22" t="s">
        <v>438</v>
      </c>
      <c r="I1829" s="22" t="s">
        <v>40</v>
      </c>
      <c r="J1829" s="22" t="s">
        <v>32</v>
      </c>
      <c r="K1829" s="10" t="str">
        <f ca="1">DATEDIF('DATA PENDUDUK'!$G1829,TODAY(),"Y")&amp; " TAHUN"</f>
        <v>18 TAHUN</v>
      </c>
      <c r="L1829" s="24" t="s">
        <v>4013</v>
      </c>
    </row>
    <row r="1830" spans="1:12" ht="20.100000000000001" customHeight="1" x14ac:dyDescent="0.25">
      <c r="A1830" s="8">
        <f t="shared" si="28"/>
        <v>1827</v>
      </c>
      <c r="B1830" s="21" t="s">
        <v>4393</v>
      </c>
      <c r="C1830" s="21" t="s">
        <v>4406</v>
      </c>
      <c r="D1830" s="22" t="s">
        <v>4407</v>
      </c>
      <c r="E1830" s="22" t="s">
        <v>1306</v>
      </c>
      <c r="F1830" s="22" t="s">
        <v>30</v>
      </c>
      <c r="G1830" s="23">
        <v>39741</v>
      </c>
      <c r="H1830" s="22" t="s">
        <v>438</v>
      </c>
      <c r="I1830" s="22" t="s">
        <v>40</v>
      </c>
      <c r="J1830" s="22" t="s">
        <v>32</v>
      </c>
      <c r="K1830" s="10" t="str">
        <f ca="1">DATEDIF('DATA PENDUDUK'!$G1830,TODAY(),"Y")&amp; " TAHUN"</f>
        <v>16 TAHUN</v>
      </c>
      <c r="L1830" s="24" t="s">
        <v>4013</v>
      </c>
    </row>
    <row r="1831" spans="1:12" ht="20.100000000000001" customHeight="1" x14ac:dyDescent="0.25">
      <c r="A1831" s="8">
        <f t="shared" si="28"/>
        <v>1828</v>
      </c>
      <c r="B1831" s="21" t="s">
        <v>4393</v>
      </c>
      <c r="C1831" s="21" t="s">
        <v>4408</v>
      </c>
      <c r="D1831" s="22" t="s">
        <v>4409</v>
      </c>
      <c r="E1831" s="22" t="s">
        <v>671</v>
      </c>
      <c r="F1831" s="22" t="s">
        <v>30</v>
      </c>
      <c r="G1831" s="23">
        <v>41908</v>
      </c>
      <c r="H1831" s="22" t="s">
        <v>438</v>
      </c>
      <c r="I1831" s="22" t="s">
        <v>31</v>
      </c>
      <c r="J1831" s="22" t="s">
        <v>32</v>
      </c>
      <c r="K1831" s="10" t="str">
        <f ca="1">DATEDIF('DATA PENDUDUK'!$G1831,TODAY(),"Y")&amp; " TAHUN"</f>
        <v>10 TAHUN</v>
      </c>
      <c r="L1831" s="24" t="s">
        <v>4013</v>
      </c>
    </row>
    <row r="1832" spans="1:12" ht="20.100000000000001" customHeight="1" x14ac:dyDescent="0.25">
      <c r="A1832" s="8">
        <f t="shared" si="28"/>
        <v>1829</v>
      </c>
      <c r="B1832" s="21" t="s">
        <v>4393</v>
      </c>
      <c r="C1832" s="21" t="s">
        <v>4410</v>
      </c>
      <c r="D1832" s="22" t="s">
        <v>4411</v>
      </c>
      <c r="E1832" s="22" t="s">
        <v>671</v>
      </c>
      <c r="F1832" s="22" t="s">
        <v>30</v>
      </c>
      <c r="G1832" s="23">
        <v>43735</v>
      </c>
      <c r="H1832" s="22" t="s">
        <v>438</v>
      </c>
      <c r="I1832" s="22" t="s">
        <v>40</v>
      </c>
      <c r="J1832" s="22" t="s">
        <v>32</v>
      </c>
      <c r="K1832" s="10" t="str">
        <f ca="1">DATEDIF('DATA PENDUDUK'!$G1832,TODAY(),"Y")&amp; " TAHUN"</f>
        <v>5 TAHUN</v>
      </c>
      <c r="L1832" s="24" t="s">
        <v>4013</v>
      </c>
    </row>
    <row r="1833" spans="1:12" ht="20.100000000000001" customHeight="1" x14ac:dyDescent="0.25">
      <c r="A1833" s="8">
        <f t="shared" si="28"/>
        <v>1830</v>
      </c>
      <c r="B1833" s="21" t="s">
        <v>4412</v>
      </c>
      <c r="C1833" s="21" t="s">
        <v>4413</v>
      </c>
      <c r="D1833" s="22" t="s">
        <v>4414</v>
      </c>
      <c r="E1833" s="22" t="s">
        <v>671</v>
      </c>
      <c r="F1833" s="22" t="s">
        <v>780</v>
      </c>
      <c r="G1833" s="23">
        <v>21832</v>
      </c>
      <c r="H1833" s="22" t="s">
        <v>438</v>
      </c>
      <c r="I1833" s="22" t="s">
        <v>789</v>
      </c>
      <c r="J1833" s="22" t="s">
        <v>20</v>
      </c>
      <c r="K1833" s="10" t="str">
        <f ca="1">DATEDIF('DATA PENDUDUK'!$G1833,TODAY(),"Y")&amp; " TAHUN"</f>
        <v>65 TAHUN</v>
      </c>
      <c r="L1833" s="24" t="s">
        <v>4013</v>
      </c>
    </row>
    <row r="1834" spans="1:12" ht="20.100000000000001" customHeight="1" x14ac:dyDescent="0.25">
      <c r="A1834" s="8">
        <f t="shared" si="28"/>
        <v>1831</v>
      </c>
      <c r="B1834" s="21" t="s">
        <v>4412</v>
      </c>
      <c r="C1834" s="21" t="s">
        <v>4415</v>
      </c>
      <c r="D1834" s="22" t="s">
        <v>4416</v>
      </c>
      <c r="E1834" s="22" t="s">
        <v>1306</v>
      </c>
      <c r="F1834" s="22" t="s">
        <v>780</v>
      </c>
      <c r="G1834" s="23">
        <v>29282</v>
      </c>
      <c r="H1834" s="22" t="s">
        <v>438</v>
      </c>
      <c r="I1834" s="22" t="s">
        <v>36</v>
      </c>
      <c r="J1834" s="22" t="s">
        <v>27</v>
      </c>
      <c r="K1834" s="10" t="str">
        <f ca="1">DATEDIF('DATA PENDUDUK'!$G1834,TODAY(),"Y")&amp; " TAHUN"</f>
        <v>45 TAHUN</v>
      </c>
      <c r="L1834" s="24" t="s">
        <v>4013</v>
      </c>
    </row>
    <row r="1835" spans="1:12" ht="20.100000000000001" customHeight="1" x14ac:dyDescent="0.25">
      <c r="A1835" s="8">
        <f t="shared" si="28"/>
        <v>1832</v>
      </c>
      <c r="B1835" s="21" t="s">
        <v>4412</v>
      </c>
      <c r="C1835" s="21" t="s">
        <v>4417</v>
      </c>
      <c r="D1835" s="22" t="s">
        <v>1036</v>
      </c>
      <c r="E1835" s="22" t="s">
        <v>671</v>
      </c>
      <c r="F1835" s="22" t="s">
        <v>681</v>
      </c>
      <c r="G1835" s="23">
        <v>33060</v>
      </c>
      <c r="H1835" s="22" t="s">
        <v>438</v>
      </c>
      <c r="I1835" s="22" t="s">
        <v>40</v>
      </c>
      <c r="J1835" s="22" t="s">
        <v>32</v>
      </c>
      <c r="K1835" s="10" t="str">
        <f ca="1">DATEDIF('DATA PENDUDUK'!$G1835,TODAY(),"Y")&amp; " TAHUN"</f>
        <v>35 TAHUN</v>
      </c>
      <c r="L1835" s="24" t="s">
        <v>4013</v>
      </c>
    </row>
    <row r="1836" spans="1:12" ht="20.100000000000001" customHeight="1" x14ac:dyDescent="0.25">
      <c r="A1836" s="8">
        <f t="shared" si="28"/>
        <v>1833</v>
      </c>
      <c r="B1836" s="21" t="s">
        <v>4418</v>
      </c>
      <c r="C1836" s="21" t="s">
        <v>4419</v>
      </c>
      <c r="D1836" s="22" t="s">
        <v>4420</v>
      </c>
      <c r="E1836" s="22" t="s">
        <v>671</v>
      </c>
      <c r="F1836" s="22" t="s">
        <v>955</v>
      </c>
      <c r="G1836" s="23">
        <v>25313</v>
      </c>
      <c r="H1836" s="22" t="s">
        <v>438</v>
      </c>
      <c r="I1836" s="22" t="s">
        <v>36</v>
      </c>
      <c r="J1836" s="22" t="s">
        <v>20</v>
      </c>
      <c r="K1836" s="10" t="str">
        <f ca="1">DATEDIF('DATA PENDUDUK'!$G1836,TODAY(),"Y")&amp; " TAHUN"</f>
        <v>56 TAHUN</v>
      </c>
      <c r="L1836" s="24" t="s">
        <v>4013</v>
      </c>
    </row>
    <row r="1837" spans="1:12" ht="20.100000000000001" customHeight="1" x14ac:dyDescent="0.25">
      <c r="A1837" s="8">
        <f t="shared" si="28"/>
        <v>1834</v>
      </c>
      <c r="B1837" s="21" t="s">
        <v>4418</v>
      </c>
      <c r="C1837" s="21" t="s">
        <v>4421</v>
      </c>
      <c r="D1837" s="22" t="s">
        <v>4422</v>
      </c>
      <c r="E1837" s="22" t="s">
        <v>1306</v>
      </c>
      <c r="F1837" s="22" t="s">
        <v>2710</v>
      </c>
      <c r="G1837" s="23">
        <v>23834</v>
      </c>
      <c r="H1837" s="22" t="s">
        <v>438</v>
      </c>
      <c r="I1837" s="22" t="s">
        <v>26</v>
      </c>
      <c r="J1837" s="22" t="s">
        <v>27</v>
      </c>
      <c r="K1837" s="10" t="str">
        <f ca="1">DATEDIF('DATA PENDUDUK'!$G1837,TODAY(),"Y")&amp; " TAHUN"</f>
        <v>60 TAHUN</v>
      </c>
      <c r="L1837" s="24" t="s">
        <v>4013</v>
      </c>
    </row>
    <row r="1838" spans="1:12" ht="20.100000000000001" customHeight="1" x14ac:dyDescent="0.25">
      <c r="A1838" s="8">
        <f t="shared" si="28"/>
        <v>1835</v>
      </c>
      <c r="B1838" s="21" t="s">
        <v>4418</v>
      </c>
      <c r="C1838" s="21" t="s">
        <v>4423</v>
      </c>
      <c r="D1838" s="22" t="s">
        <v>4424</v>
      </c>
      <c r="E1838" s="22" t="s">
        <v>1306</v>
      </c>
      <c r="F1838" s="22" t="s">
        <v>30</v>
      </c>
      <c r="G1838" s="23">
        <v>36343</v>
      </c>
      <c r="H1838" s="22" t="s">
        <v>438</v>
      </c>
      <c r="I1838" s="22" t="s">
        <v>40</v>
      </c>
      <c r="J1838" s="22" t="s">
        <v>32</v>
      </c>
      <c r="K1838" s="10" t="str">
        <f ca="1">DATEDIF('DATA PENDUDUK'!$G1838,TODAY(),"Y")&amp; " TAHUN"</f>
        <v>26 TAHUN</v>
      </c>
      <c r="L1838" s="24" t="s">
        <v>4013</v>
      </c>
    </row>
    <row r="1839" spans="1:12" ht="20.100000000000001" customHeight="1" x14ac:dyDescent="0.25">
      <c r="A1839" s="8">
        <f t="shared" si="28"/>
        <v>1836</v>
      </c>
      <c r="B1839" s="21" t="s">
        <v>4418</v>
      </c>
      <c r="C1839" s="21" t="s">
        <v>4425</v>
      </c>
      <c r="D1839" s="22" t="s">
        <v>4426</v>
      </c>
      <c r="E1839" s="22" t="s">
        <v>1306</v>
      </c>
      <c r="F1839" s="22" t="s">
        <v>30</v>
      </c>
      <c r="G1839" s="23">
        <v>38852</v>
      </c>
      <c r="H1839" s="22" t="s">
        <v>438</v>
      </c>
      <c r="I1839" s="22" t="s">
        <v>40</v>
      </c>
      <c r="J1839" s="22" t="s">
        <v>32</v>
      </c>
      <c r="K1839" s="10" t="str">
        <f ca="1">DATEDIF('DATA PENDUDUK'!$G1839,TODAY(),"Y")&amp; " TAHUN"</f>
        <v>19 TAHUN</v>
      </c>
      <c r="L1839" s="24" t="s">
        <v>4013</v>
      </c>
    </row>
    <row r="1840" spans="1:12" ht="20.100000000000001" customHeight="1" x14ac:dyDescent="0.25">
      <c r="A1840" s="8">
        <f t="shared" si="28"/>
        <v>1837</v>
      </c>
      <c r="B1840" s="21" t="s">
        <v>4418</v>
      </c>
      <c r="C1840" s="21" t="s">
        <v>4427</v>
      </c>
      <c r="D1840" s="22" t="s">
        <v>4428</v>
      </c>
      <c r="E1840" s="22" t="s">
        <v>671</v>
      </c>
      <c r="F1840" s="22" t="s">
        <v>30</v>
      </c>
      <c r="G1840" s="23">
        <v>39088</v>
      </c>
      <c r="H1840" s="22" t="s">
        <v>438</v>
      </c>
      <c r="I1840" s="22" t="s">
        <v>40</v>
      </c>
      <c r="J1840" s="22" t="s">
        <v>32</v>
      </c>
      <c r="K1840" s="10" t="str">
        <f ca="1">DATEDIF('DATA PENDUDUK'!$G1840,TODAY(),"Y")&amp; " TAHUN"</f>
        <v>18 TAHUN</v>
      </c>
      <c r="L1840" s="24" t="s">
        <v>4013</v>
      </c>
    </row>
    <row r="1841" spans="1:12" ht="20.100000000000001" customHeight="1" x14ac:dyDescent="0.25">
      <c r="A1841" s="8">
        <f t="shared" si="28"/>
        <v>1838</v>
      </c>
      <c r="B1841" s="21" t="s">
        <v>4429</v>
      </c>
      <c r="C1841" s="21" t="s">
        <v>4430</v>
      </c>
      <c r="D1841" s="22" t="s">
        <v>4431</v>
      </c>
      <c r="E1841" s="22" t="s">
        <v>1306</v>
      </c>
      <c r="F1841" s="22" t="s">
        <v>955</v>
      </c>
      <c r="G1841" s="23">
        <v>36895</v>
      </c>
      <c r="H1841" s="22" t="s">
        <v>438</v>
      </c>
      <c r="I1841" s="22" t="s">
        <v>36</v>
      </c>
      <c r="J1841" s="22" t="s">
        <v>20</v>
      </c>
      <c r="K1841" s="10" t="str">
        <f ca="1">DATEDIF('DATA PENDUDUK'!$G1841,TODAY(),"Y")&amp; " TAHUN"</f>
        <v>24 TAHUN</v>
      </c>
      <c r="L1841" s="24" t="s">
        <v>4013</v>
      </c>
    </row>
    <row r="1842" spans="1:12" ht="20.100000000000001" customHeight="1" x14ac:dyDescent="0.25">
      <c r="A1842" s="8">
        <f t="shared" si="28"/>
        <v>1839</v>
      </c>
      <c r="B1842" s="21" t="s">
        <v>4429</v>
      </c>
      <c r="C1842" s="21" t="s">
        <v>4432</v>
      </c>
      <c r="D1842" s="22" t="s">
        <v>4433</v>
      </c>
      <c r="E1842" s="22" t="s">
        <v>671</v>
      </c>
      <c r="F1842" s="22" t="s">
        <v>4434</v>
      </c>
      <c r="G1842" s="23">
        <v>42084</v>
      </c>
      <c r="H1842" s="22" t="s">
        <v>438</v>
      </c>
      <c r="I1842" s="22" t="s">
        <v>31</v>
      </c>
      <c r="J1842" s="22" t="s">
        <v>32</v>
      </c>
      <c r="K1842" s="10" t="str">
        <f ca="1">DATEDIF('DATA PENDUDUK'!$G1842,TODAY(),"Y")&amp; " TAHUN"</f>
        <v>10 TAHUN</v>
      </c>
      <c r="L1842" s="24" t="s">
        <v>4013</v>
      </c>
    </row>
    <row r="1843" spans="1:12" ht="20.100000000000001" customHeight="1" x14ac:dyDescent="0.25">
      <c r="A1843" s="8">
        <f t="shared" si="28"/>
        <v>1840</v>
      </c>
      <c r="B1843" s="21" t="s">
        <v>4429</v>
      </c>
      <c r="C1843" s="21" t="s">
        <v>4435</v>
      </c>
      <c r="D1843" s="22" t="s">
        <v>4436</v>
      </c>
      <c r="E1843" s="22" t="s">
        <v>1306</v>
      </c>
      <c r="F1843" s="22" t="s">
        <v>746</v>
      </c>
      <c r="G1843" s="23">
        <v>43009</v>
      </c>
      <c r="H1843" s="22" t="s">
        <v>438</v>
      </c>
      <c r="I1843" s="22" t="s">
        <v>31</v>
      </c>
      <c r="J1843" s="22" t="s">
        <v>32</v>
      </c>
      <c r="K1843" s="10" t="str">
        <f ca="1">DATEDIF('DATA PENDUDUK'!$G1843,TODAY(),"Y")&amp; " TAHUN"</f>
        <v>7 TAHUN</v>
      </c>
      <c r="L1843" s="24" t="s">
        <v>4013</v>
      </c>
    </row>
    <row r="1844" spans="1:12" ht="20.100000000000001" customHeight="1" x14ac:dyDescent="0.25">
      <c r="A1844" s="8">
        <f t="shared" si="28"/>
        <v>1841</v>
      </c>
      <c r="B1844" s="21" t="s">
        <v>1877</v>
      </c>
      <c r="C1844" s="21" t="s">
        <v>1878</v>
      </c>
      <c r="D1844" s="22" t="s">
        <v>4437</v>
      </c>
      <c r="E1844" s="22" t="s">
        <v>671</v>
      </c>
      <c r="F1844" s="22" t="s">
        <v>863</v>
      </c>
      <c r="G1844" s="23">
        <v>29403</v>
      </c>
      <c r="H1844" s="22" t="s">
        <v>438</v>
      </c>
      <c r="I1844" s="22" t="s">
        <v>36</v>
      </c>
      <c r="J1844" s="22" t="s">
        <v>20</v>
      </c>
      <c r="K1844" s="10" t="str">
        <f ca="1">DATEDIF('DATA PENDUDUK'!$G1844,TODAY(),"Y")&amp; " TAHUN"</f>
        <v>45 TAHUN</v>
      </c>
      <c r="L1844" s="24" t="s">
        <v>4013</v>
      </c>
    </row>
    <row r="1845" spans="1:12" ht="20.100000000000001" customHeight="1" x14ac:dyDescent="0.25">
      <c r="A1845" s="8">
        <f t="shared" si="28"/>
        <v>1842</v>
      </c>
      <c r="B1845" s="21" t="s">
        <v>1877</v>
      </c>
      <c r="C1845" s="21" t="s">
        <v>1880</v>
      </c>
      <c r="D1845" s="22" t="s">
        <v>1881</v>
      </c>
      <c r="E1845" s="22" t="s">
        <v>1306</v>
      </c>
      <c r="F1845" s="22" t="s">
        <v>863</v>
      </c>
      <c r="G1845" s="23">
        <v>31218</v>
      </c>
      <c r="H1845" s="22" t="s">
        <v>438</v>
      </c>
      <c r="I1845" s="22" t="s">
        <v>26</v>
      </c>
      <c r="J1845" s="22" t="s">
        <v>27</v>
      </c>
      <c r="K1845" s="10" t="str">
        <f ca="1">DATEDIF('DATA PENDUDUK'!$G1845,TODAY(),"Y")&amp; " TAHUN"</f>
        <v>40 TAHUN</v>
      </c>
      <c r="L1845" s="24" t="s">
        <v>4013</v>
      </c>
    </row>
    <row r="1846" spans="1:12" ht="20.100000000000001" customHeight="1" x14ac:dyDescent="0.25">
      <c r="A1846" s="8">
        <f t="shared" si="28"/>
        <v>1843</v>
      </c>
      <c r="B1846" s="21" t="s">
        <v>1877</v>
      </c>
      <c r="C1846" s="21" t="s">
        <v>1882</v>
      </c>
      <c r="D1846" s="22" t="s">
        <v>1883</v>
      </c>
      <c r="E1846" s="22" t="s">
        <v>671</v>
      </c>
      <c r="F1846" s="22" t="s">
        <v>30</v>
      </c>
      <c r="G1846" s="23">
        <v>41615</v>
      </c>
      <c r="H1846" s="22" t="s">
        <v>438</v>
      </c>
      <c r="I1846" s="22" t="s">
        <v>31</v>
      </c>
      <c r="J1846" s="22" t="s">
        <v>32</v>
      </c>
      <c r="K1846" s="10" t="str">
        <f ca="1">DATEDIF('DATA PENDUDUK'!$G1846,TODAY(),"Y")&amp; " TAHUN"</f>
        <v>11 TAHUN</v>
      </c>
      <c r="L1846" s="24" t="s">
        <v>4013</v>
      </c>
    </row>
    <row r="1847" spans="1:12" ht="20.100000000000001" customHeight="1" x14ac:dyDescent="0.25">
      <c r="A1847" s="8">
        <f t="shared" si="28"/>
        <v>1844</v>
      </c>
      <c r="B1847" s="21" t="s">
        <v>1877</v>
      </c>
      <c r="C1847" s="21" t="s">
        <v>1884</v>
      </c>
      <c r="D1847" s="22" t="s">
        <v>1885</v>
      </c>
      <c r="E1847" s="22" t="s">
        <v>671</v>
      </c>
      <c r="F1847" s="22" t="s">
        <v>30</v>
      </c>
      <c r="G1847" s="23">
        <v>42463</v>
      </c>
      <c r="H1847" s="22" t="s">
        <v>438</v>
      </c>
      <c r="I1847" s="22" t="s">
        <v>31</v>
      </c>
      <c r="J1847" s="22" t="s">
        <v>32</v>
      </c>
      <c r="K1847" s="10" t="str">
        <f ca="1">DATEDIF('DATA PENDUDUK'!$G1847,TODAY(),"Y")&amp; " TAHUN"</f>
        <v>9 TAHUN</v>
      </c>
      <c r="L1847" s="24" t="s">
        <v>4013</v>
      </c>
    </row>
    <row r="1848" spans="1:12" ht="20.100000000000001" customHeight="1" x14ac:dyDescent="0.25">
      <c r="A1848" s="8">
        <f t="shared" si="28"/>
        <v>1845</v>
      </c>
      <c r="B1848" s="21" t="s">
        <v>1877</v>
      </c>
      <c r="C1848" s="21" t="s">
        <v>4438</v>
      </c>
      <c r="D1848" s="22" t="s">
        <v>4439</v>
      </c>
      <c r="E1848" s="22" t="s">
        <v>671</v>
      </c>
      <c r="F1848" s="22" t="s">
        <v>30</v>
      </c>
      <c r="G1848" s="23">
        <v>43601</v>
      </c>
      <c r="H1848" s="22" t="s">
        <v>438</v>
      </c>
      <c r="I1848" s="22" t="s">
        <v>40</v>
      </c>
      <c r="J1848" s="22" t="s">
        <v>32</v>
      </c>
      <c r="K1848" s="10" t="str">
        <f ca="1">DATEDIF('DATA PENDUDUK'!$G1848,TODAY(),"Y")&amp; " TAHUN"</f>
        <v>6 TAHUN</v>
      </c>
      <c r="L1848" s="24" t="s">
        <v>4013</v>
      </c>
    </row>
    <row r="1849" spans="1:12" ht="20.100000000000001" customHeight="1" x14ac:dyDescent="0.25">
      <c r="A1849" s="8">
        <f t="shared" si="28"/>
        <v>1846</v>
      </c>
      <c r="B1849" s="21" t="s">
        <v>1877</v>
      </c>
      <c r="C1849" s="21" t="s">
        <v>4440</v>
      </c>
      <c r="D1849" s="22" t="s">
        <v>4441</v>
      </c>
      <c r="E1849" s="22" t="s">
        <v>671</v>
      </c>
      <c r="F1849" s="22" t="s">
        <v>30</v>
      </c>
      <c r="G1849" s="23">
        <v>45359</v>
      </c>
      <c r="H1849" s="22" t="s">
        <v>438</v>
      </c>
      <c r="I1849" s="22" t="s">
        <v>40</v>
      </c>
      <c r="J1849" s="22" t="s">
        <v>32</v>
      </c>
      <c r="K1849" s="10" t="str">
        <f ca="1">DATEDIF('DATA PENDUDUK'!$G1849,TODAY(),"Y")&amp; " TAHUN"</f>
        <v>1 TAHUN</v>
      </c>
      <c r="L1849" s="24" t="s">
        <v>4013</v>
      </c>
    </row>
    <row r="1850" spans="1:12" ht="20.100000000000001" customHeight="1" x14ac:dyDescent="0.25">
      <c r="A1850" s="8">
        <f t="shared" si="28"/>
        <v>1847</v>
      </c>
      <c r="B1850" s="21" t="s">
        <v>4442</v>
      </c>
      <c r="C1850" s="21" t="s">
        <v>4443</v>
      </c>
      <c r="D1850" s="22" t="s">
        <v>4444</v>
      </c>
      <c r="E1850" s="22" t="s">
        <v>671</v>
      </c>
      <c r="F1850" s="22" t="s">
        <v>681</v>
      </c>
      <c r="G1850" s="23">
        <v>28286</v>
      </c>
      <c r="H1850" s="22" t="s">
        <v>438</v>
      </c>
      <c r="I1850" s="22" t="s">
        <v>19</v>
      </c>
      <c r="J1850" s="22" t="s">
        <v>20</v>
      </c>
      <c r="K1850" s="10" t="str">
        <f ca="1">DATEDIF('DATA PENDUDUK'!$G1850,TODAY(),"Y")&amp; " TAHUN"</f>
        <v>48 TAHUN</v>
      </c>
      <c r="L1850" s="24" t="s">
        <v>4013</v>
      </c>
    </row>
    <row r="1851" spans="1:12" ht="20.100000000000001" customHeight="1" x14ac:dyDescent="0.25">
      <c r="A1851" s="8">
        <f t="shared" si="28"/>
        <v>1848</v>
      </c>
      <c r="B1851" s="21" t="s">
        <v>4442</v>
      </c>
      <c r="C1851" s="21" t="s">
        <v>4445</v>
      </c>
      <c r="D1851" s="22" t="s">
        <v>4446</v>
      </c>
      <c r="E1851" s="22" t="s">
        <v>1306</v>
      </c>
      <c r="F1851" s="22" t="s">
        <v>955</v>
      </c>
      <c r="G1851" s="23">
        <v>28686</v>
      </c>
      <c r="H1851" s="22" t="s">
        <v>438</v>
      </c>
      <c r="I1851" s="22" t="s">
        <v>26</v>
      </c>
      <c r="J1851" s="22" t="s">
        <v>27</v>
      </c>
      <c r="K1851" s="10" t="str">
        <f ca="1">DATEDIF('DATA PENDUDUK'!$G1851,TODAY(),"Y")&amp; " TAHUN"</f>
        <v>47 TAHUN</v>
      </c>
      <c r="L1851" s="24" t="s">
        <v>4013</v>
      </c>
    </row>
    <row r="1852" spans="1:12" ht="20.100000000000001" customHeight="1" x14ac:dyDescent="0.25">
      <c r="A1852" s="8">
        <f t="shared" si="28"/>
        <v>1849</v>
      </c>
      <c r="B1852" s="21" t="s">
        <v>4442</v>
      </c>
      <c r="C1852" s="21" t="s">
        <v>4447</v>
      </c>
      <c r="D1852" s="22" t="s">
        <v>4448</v>
      </c>
      <c r="E1852" s="22" t="s">
        <v>671</v>
      </c>
      <c r="F1852" s="22" t="s">
        <v>30</v>
      </c>
      <c r="G1852" s="23">
        <v>36010</v>
      </c>
      <c r="H1852" s="22" t="s">
        <v>438</v>
      </c>
      <c r="I1852" s="22" t="s">
        <v>40</v>
      </c>
      <c r="J1852" s="22" t="s">
        <v>32</v>
      </c>
      <c r="K1852" s="10" t="str">
        <f ca="1">DATEDIF('DATA PENDUDUK'!$G1852,TODAY(),"Y")&amp; " TAHUN"</f>
        <v>26 TAHUN</v>
      </c>
      <c r="L1852" s="24" t="s">
        <v>4013</v>
      </c>
    </row>
    <row r="1853" spans="1:12" ht="20.100000000000001" customHeight="1" x14ac:dyDescent="0.25">
      <c r="A1853" s="8">
        <f t="shared" si="28"/>
        <v>1850</v>
      </c>
      <c r="B1853" s="21" t="s">
        <v>4442</v>
      </c>
      <c r="C1853" s="21" t="s">
        <v>4449</v>
      </c>
      <c r="D1853" s="22" t="s">
        <v>4450</v>
      </c>
      <c r="E1853" s="22" t="s">
        <v>671</v>
      </c>
      <c r="F1853" s="22" t="s">
        <v>376</v>
      </c>
      <c r="G1853" s="23">
        <v>36755</v>
      </c>
      <c r="H1853" s="22" t="s">
        <v>438</v>
      </c>
      <c r="I1853" s="22" t="s">
        <v>40</v>
      </c>
      <c r="J1853" s="22" t="s">
        <v>32</v>
      </c>
      <c r="K1853" s="10" t="str">
        <f ca="1">DATEDIF('DATA PENDUDUK'!$G1853,TODAY(),"Y")&amp; " TAHUN"</f>
        <v>24 TAHUN</v>
      </c>
      <c r="L1853" s="24" t="s">
        <v>4013</v>
      </c>
    </row>
    <row r="1854" spans="1:12" ht="20.100000000000001" customHeight="1" x14ac:dyDescent="0.25">
      <c r="A1854" s="8">
        <f t="shared" si="28"/>
        <v>1851</v>
      </c>
      <c r="B1854" s="21" t="s">
        <v>4442</v>
      </c>
      <c r="C1854" s="21" t="s">
        <v>4451</v>
      </c>
      <c r="D1854" s="22" t="s">
        <v>4452</v>
      </c>
      <c r="E1854" s="22" t="s">
        <v>671</v>
      </c>
      <c r="F1854" s="22" t="s">
        <v>376</v>
      </c>
      <c r="G1854" s="23">
        <v>39381</v>
      </c>
      <c r="H1854" s="22" t="s">
        <v>438</v>
      </c>
      <c r="I1854" s="22" t="s">
        <v>40</v>
      </c>
      <c r="J1854" s="22" t="s">
        <v>32</v>
      </c>
      <c r="K1854" s="10" t="str">
        <f ca="1">DATEDIF('DATA PENDUDUK'!$G1854,TODAY(),"Y")&amp; " TAHUN"</f>
        <v>17 TAHUN</v>
      </c>
      <c r="L1854" s="24" t="s">
        <v>4013</v>
      </c>
    </row>
    <row r="1855" spans="1:12" ht="20.100000000000001" customHeight="1" x14ac:dyDescent="0.25">
      <c r="A1855" s="8">
        <f t="shared" si="28"/>
        <v>1852</v>
      </c>
      <c r="B1855" s="21" t="s">
        <v>4442</v>
      </c>
      <c r="C1855" s="21" t="s">
        <v>4453</v>
      </c>
      <c r="D1855" s="22" t="s">
        <v>4454</v>
      </c>
      <c r="E1855" s="22" t="s">
        <v>671</v>
      </c>
      <c r="F1855" s="22" t="s">
        <v>376</v>
      </c>
      <c r="G1855" s="23">
        <v>40646</v>
      </c>
      <c r="H1855" s="22" t="s">
        <v>438</v>
      </c>
      <c r="I1855" s="22" t="s">
        <v>31</v>
      </c>
      <c r="J1855" s="22" t="s">
        <v>32</v>
      </c>
      <c r="K1855" s="10" t="str">
        <f ca="1">DATEDIF('DATA PENDUDUK'!$G1855,TODAY(),"Y")&amp; " TAHUN"</f>
        <v>14 TAHUN</v>
      </c>
      <c r="L1855" s="24" t="s">
        <v>4013</v>
      </c>
    </row>
    <row r="1856" spans="1:12" ht="20.100000000000001" customHeight="1" x14ac:dyDescent="0.25">
      <c r="A1856" s="8">
        <f t="shared" si="28"/>
        <v>1853</v>
      </c>
      <c r="B1856" s="21" t="s">
        <v>4442</v>
      </c>
      <c r="C1856" s="21" t="s">
        <v>4455</v>
      </c>
      <c r="D1856" s="22" t="s">
        <v>2832</v>
      </c>
      <c r="E1856" s="22" t="s">
        <v>1306</v>
      </c>
      <c r="F1856" s="22" t="s">
        <v>30</v>
      </c>
      <c r="G1856" s="23">
        <v>42876</v>
      </c>
      <c r="H1856" s="22" t="s">
        <v>438</v>
      </c>
      <c r="I1856" s="22" t="s">
        <v>31</v>
      </c>
      <c r="J1856" s="22" t="s">
        <v>32</v>
      </c>
      <c r="K1856" s="10" t="str">
        <f ca="1">DATEDIF('DATA PENDUDUK'!$G1856,TODAY(),"Y")&amp; " TAHUN"</f>
        <v>8 TAHUN</v>
      </c>
      <c r="L1856" s="24" t="s">
        <v>4013</v>
      </c>
    </row>
    <row r="1857" spans="1:12" ht="20.100000000000001" customHeight="1" x14ac:dyDescent="0.25">
      <c r="A1857" s="8">
        <f t="shared" si="28"/>
        <v>1854</v>
      </c>
      <c r="B1857" s="21" t="s">
        <v>4456</v>
      </c>
      <c r="C1857" s="21" t="s">
        <v>4457</v>
      </c>
      <c r="D1857" s="22" t="s">
        <v>4458</v>
      </c>
      <c r="E1857" s="22" t="s">
        <v>1306</v>
      </c>
      <c r="F1857" s="22" t="s">
        <v>955</v>
      </c>
      <c r="G1857" s="23">
        <v>32303</v>
      </c>
      <c r="H1857" s="22" t="s">
        <v>438</v>
      </c>
      <c r="I1857" s="22" t="s">
        <v>26</v>
      </c>
      <c r="J1857" s="22" t="s">
        <v>20</v>
      </c>
      <c r="K1857" s="10" t="str">
        <f ca="1">DATEDIF('DATA PENDUDUK'!$G1857,TODAY(),"Y")&amp; " TAHUN"</f>
        <v>37 TAHUN</v>
      </c>
      <c r="L1857" s="24" t="s">
        <v>4013</v>
      </c>
    </row>
    <row r="1858" spans="1:12" ht="20.100000000000001" customHeight="1" x14ac:dyDescent="0.25">
      <c r="A1858" s="8">
        <f t="shared" si="28"/>
        <v>1855</v>
      </c>
      <c r="B1858" s="21" t="s">
        <v>4459</v>
      </c>
      <c r="C1858" s="21" t="s">
        <v>4460</v>
      </c>
      <c r="D1858" s="22" t="s">
        <v>4461</v>
      </c>
      <c r="E1858" s="22" t="s">
        <v>671</v>
      </c>
      <c r="F1858" s="22" t="s">
        <v>955</v>
      </c>
      <c r="G1858" s="23">
        <v>33726</v>
      </c>
      <c r="H1858" s="22" t="s">
        <v>438</v>
      </c>
      <c r="I1858" s="22" t="s">
        <v>40</v>
      </c>
      <c r="J1858" s="22" t="s">
        <v>20</v>
      </c>
      <c r="K1858" s="10" t="str">
        <f ca="1">DATEDIF('DATA PENDUDUK'!$G1858,TODAY(),"Y")&amp; " TAHUN"</f>
        <v>33 TAHUN</v>
      </c>
      <c r="L1858" s="24" t="s">
        <v>4013</v>
      </c>
    </row>
    <row r="1859" spans="1:12" ht="20.100000000000001" customHeight="1" x14ac:dyDescent="0.25">
      <c r="A1859" s="8">
        <f t="shared" si="28"/>
        <v>1856</v>
      </c>
      <c r="B1859" s="21" t="s">
        <v>4459</v>
      </c>
      <c r="C1859" s="21" t="s">
        <v>4462</v>
      </c>
      <c r="D1859" s="22" t="s">
        <v>4463</v>
      </c>
      <c r="E1859" s="22" t="s">
        <v>1306</v>
      </c>
      <c r="F1859" s="22" t="s">
        <v>780</v>
      </c>
      <c r="G1859" s="23">
        <v>39239</v>
      </c>
      <c r="H1859" s="22" t="s">
        <v>438</v>
      </c>
      <c r="I1859" s="22" t="s">
        <v>26</v>
      </c>
      <c r="J1859" s="22" t="s">
        <v>27</v>
      </c>
      <c r="K1859" s="10" t="str">
        <f ca="1">DATEDIF('DATA PENDUDUK'!$G1859,TODAY(),"Y")&amp; " TAHUN"</f>
        <v>18 TAHUN</v>
      </c>
      <c r="L1859" s="24" t="s">
        <v>4013</v>
      </c>
    </row>
    <row r="1860" spans="1:12" ht="20.100000000000001" customHeight="1" x14ac:dyDescent="0.25">
      <c r="A1860" s="8">
        <f t="shared" si="28"/>
        <v>1857</v>
      </c>
      <c r="B1860" s="21" t="s">
        <v>4459</v>
      </c>
      <c r="C1860" s="21" t="s">
        <v>4464</v>
      </c>
      <c r="D1860" s="22" t="s">
        <v>4465</v>
      </c>
      <c r="E1860" s="22" t="s">
        <v>671</v>
      </c>
      <c r="F1860" s="22" t="s">
        <v>2132</v>
      </c>
      <c r="G1860" s="23">
        <v>44196</v>
      </c>
      <c r="H1860" s="22" t="s">
        <v>438</v>
      </c>
      <c r="I1860" s="22" t="s">
        <v>40</v>
      </c>
      <c r="J1860" s="22" t="s">
        <v>32</v>
      </c>
      <c r="K1860" s="10" t="str">
        <f ca="1">DATEDIF('DATA PENDUDUK'!$G1860,TODAY(),"Y")&amp; " TAHUN"</f>
        <v>4 TAHUN</v>
      </c>
      <c r="L1860" s="24" t="s">
        <v>4013</v>
      </c>
    </row>
    <row r="1861" spans="1:12" ht="20.100000000000001" customHeight="1" x14ac:dyDescent="0.25">
      <c r="A1861" s="8">
        <f t="shared" si="28"/>
        <v>1858</v>
      </c>
      <c r="B1861" s="21" t="s">
        <v>4459</v>
      </c>
      <c r="C1861" s="21" t="s">
        <v>4466</v>
      </c>
      <c r="D1861" s="22" t="s">
        <v>4467</v>
      </c>
      <c r="E1861" s="22" t="s">
        <v>671</v>
      </c>
      <c r="F1861" s="22" t="s">
        <v>2132</v>
      </c>
      <c r="G1861" s="23">
        <v>44931</v>
      </c>
      <c r="H1861" s="22" t="s">
        <v>438</v>
      </c>
      <c r="I1861" s="22" t="s">
        <v>40</v>
      </c>
      <c r="J1861" s="22" t="s">
        <v>32</v>
      </c>
      <c r="K1861" s="10" t="str">
        <f ca="1">DATEDIF('DATA PENDUDUK'!$G1861,TODAY(),"Y")&amp; " TAHUN"</f>
        <v>2 TAHUN</v>
      </c>
      <c r="L1861" s="24" t="s">
        <v>4013</v>
      </c>
    </row>
    <row r="1862" spans="1:12" ht="20.100000000000001" customHeight="1" x14ac:dyDescent="0.25">
      <c r="A1862" s="8">
        <f t="shared" ref="A1862:A1925" si="29">IF(D1862="","",ROW()-3)</f>
        <v>1859</v>
      </c>
      <c r="B1862" s="21" t="s">
        <v>4468</v>
      </c>
      <c r="C1862" s="21" t="s">
        <v>4469</v>
      </c>
      <c r="D1862" s="22" t="s">
        <v>4470</v>
      </c>
      <c r="E1862" s="22" t="s">
        <v>671</v>
      </c>
      <c r="F1862" s="22" t="s">
        <v>955</v>
      </c>
      <c r="G1862" s="23">
        <v>27675</v>
      </c>
      <c r="H1862" s="22" t="s">
        <v>438</v>
      </c>
      <c r="I1862" s="22" t="s">
        <v>36</v>
      </c>
      <c r="J1862" s="22" t="s">
        <v>20</v>
      </c>
      <c r="K1862" s="10" t="str">
        <f ca="1">DATEDIF('DATA PENDUDUK'!$G1862,TODAY(),"Y")&amp; " TAHUN"</f>
        <v>49 TAHUN</v>
      </c>
      <c r="L1862" s="24" t="s">
        <v>4471</v>
      </c>
    </row>
    <row r="1863" spans="1:12" ht="20.100000000000001" customHeight="1" x14ac:dyDescent="0.25">
      <c r="A1863" s="8">
        <f t="shared" si="29"/>
        <v>1860</v>
      </c>
      <c r="B1863" s="21" t="s">
        <v>4468</v>
      </c>
      <c r="C1863" s="21" t="s">
        <v>4472</v>
      </c>
      <c r="D1863" s="22" t="s">
        <v>4473</v>
      </c>
      <c r="E1863" s="22" t="s">
        <v>24</v>
      </c>
      <c r="F1863" s="22" t="s">
        <v>955</v>
      </c>
      <c r="G1863" s="23">
        <v>34093</v>
      </c>
      <c r="H1863" s="22" t="s">
        <v>438</v>
      </c>
      <c r="I1863" s="22" t="s">
        <v>26</v>
      </c>
      <c r="J1863" s="22" t="s">
        <v>27</v>
      </c>
      <c r="K1863" s="10" t="str">
        <f ca="1">DATEDIF('DATA PENDUDUK'!$G1863,TODAY(),"Y")&amp; " TAHUN"</f>
        <v>32 TAHUN</v>
      </c>
      <c r="L1863" s="24" t="s">
        <v>4471</v>
      </c>
    </row>
    <row r="1864" spans="1:12" ht="20.100000000000001" customHeight="1" x14ac:dyDescent="0.25">
      <c r="A1864" s="8">
        <f t="shared" si="29"/>
        <v>1861</v>
      </c>
      <c r="B1864" s="21" t="s">
        <v>4468</v>
      </c>
      <c r="C1864" s="21" t="s">
        <v>4474</v>
      </c>
      <c r="D1864" s="22" t="s">
        <v>4475</v>
      </c>
      <c r="E1864" s="22" t="s">
        <v>24</v>
      </c>
      <c r="F1864" s="22" t="s">
        <v>30</v>
      </c>
      <c r="G1864" s="23">
        <v>42585</v>
      </c>
      <c r="H1864" s="22" t="s">
        <v>438</v>
      </c>
      <c r="I1864" s="22" t="s">
        <v>31</v>
      </c>
      <c r="J1864" s="22" t="s">
        <v>32</v>
      </c>
      <c r="K1864" s="10" t="str">
        <f ca="1">DATEDIF('DATA PENDUDUK'!$G1864,TODAY(),"Y")&amp; " TAHUN"</f>
        <v>8 TAHUN</v>
      </c>
      <c r="L1864" s="24" t="s">
        <v>4471</v>
      </c>
    </row>
    <row r="1865" spans="1:12" ht="20.100000000000001" customHeight="1" x14ac:dyDescent="0.25">
      <c r="A1865" s="8">
        <f t="shared" si="29"/>
        <v>1862</v>
      </c>
      <c r="B1865" s="21" t="s">
        <v>4468</v>
      </c>
      <c r="C1865" s="21" t="s">
        <v>4476</v>
      </c>
      <c r="D1865" s="22" t="s">
        <v>4477</v>
      </c>
      <c r="E1865" s="22" t="s">
        <v>24</v>
      </c>
      <c r="F1865" s="22" t="s">
        <v>30</v>
      </c>
      <c r="G1865" s="23">
        <v>42585</v>
      </c>
      <c r="H1865" s="22" t="s">
        <v>438</v>
      </c>
      <c r="I1865" s="22" t="s">
        <v>31</v>
      </c>
      <c r="J1865" s="22" t="s">
        <v>32</v>
      </c>
      <c r="K1865" s="10" t="str">
        <f ca="1">DATEDIF('DATA PENDUDUK'!$G1865,TODAY(),"Y")&amp; " TAHUN"</f>
        <v>8 TAHUN</v>
      </c>
      <c r="L1865" s="24" t="s">
        <v>4471</v>
      </c>
    </row>
    <row r="1866" spans="1:12" ht="20.100000000000001" customHeight="1" x14ac:dyDescent="0.25">
      <c r="A1866" s="8">
        <f t="shared" si="29"/>
        <v>1863</v>
      </c>
      <c r="B1866" s="21" t="s">
        <v>4468</v>
      </c>
      <c r="C1866" s="21" t="s">
        <v>4478</v>
      </c>
      <c r="D1866" s="22" t="s">
        <v>4479</v>
      </c>
      <c r="E1866" s="22" t="s">
        <v>24</v>
      </c>
      <c r="F1866" s="22" t="s">
        <v>30</v>
      </c>
      <c r="G1866" s="23">
        <v>43606</v>
      </c>
      <c r="H1866" s="22" t="s">
        <v>438</v>
      </c>
      <c r="I1866" s="22" t="s">
        <v>40</v>
      </c>
      <c r="J1866" s="22" t="s">
        <v>32</v>
      </c>
      <c r="K1866" s="10" t="str">
        <f ca="1">DATEDIF('DATA PENDUDUK'!$G1866,TODAY(),"Y")&amp; " TAHUN"</f>
        <v>6 TAHUN</v>
      </c>
      <c r="L1866" s="24" t="s">
        <v>4471</v>
      </c>
    </row>
    <row r="1867" spans="1:12" ht="20.100000000000001" customHeight="1" x14ac:dyDescent="0.25">
      <c r="A1867" s="8">
        <f t="shared" si="29"/>
        <v>1864</v>
      </c>
      <c r="B1867" s="21" t="s">
        <v>4468</v>
      </c>
      <c r="C1867" s="21" t="s">
        <v>4480</v>
      </c>
      <c r="D1867" s="22" t="s">
        <v>4481</v>
      </c>
      <c r="E1867" s="22" t="s">
        <v>24</v>
      </c>
      <c r="F1867" s="22" t="s">
        <v>30</v>
      </c>
      <c r="G1867" s="23">
        <v>43606</v>
      </c>
      <c r="H1867" s="22" t="s">
        <v>438</v>
      </c>
      <c r="I1867" s="22" t="s">
        <v>40</v>
      </c>
      <c r="J1867" s="22" t="s">
        <v>32</v>
      </c>
      <c r="K1867" s="10" t="str">
        <f ca="1">DATEDIF('DATA PENDUDUK'!$G1867,TODAY(),"Y")&amp; " TAHUN"</f>
        <v>6 TAHUN</v>
      </c>
      <c r="L1867" s="24" t="s">
        <v>4471</v>
      </c>
    </row>
    <row r="1868" spans="1:12" ht="20.100000000000001" customHeight="1" x14ac:dyDescent="0.25">
      <c r="A1868" s="8">
        <f t="shared" si="29"/>
        <v>1865</v>
      </c>
      <c r="B1868" s="21" t="s">
        <v>4468</v>
      </c>
      <c r="C1868" s="21" t="s">
        <v>4482</v>
      </c>
      <c r="D1868" s="22" t="s">
        <v>4483</v>
      </c>
      <c r="E1868" s="22" t="s">
        <v>671</v>
      </c>
      <c r="F1868" s="22" t="s">
        <v>30</v>
      </c>
      <c r="G1868" s="23">
        <v>44905</v>
      </c>
      <c r="H1868" s="22" t="s">
        <v>438</v>
      </c>
      <c r="I1868" s="22" t="s">
        <v>40</v>
      </c>
      <c r="J1868" s="22" t="s">
        <v>32</v>
      </c>
      <c r="K1868" s="10" t="str">
        <f ca="1">DATEDIF('DATA PENDUDUK'!$G1868,TODAY(),"Y")&amp; " TAHUN"</f>
        <v>2 TAHUN</v>
      </c>
      <c r="L1868" s="24" t="s">
        <v>4471</v>
      </c>
    </row>
    <row r="1869" spans="1:12" ht="20.100000000000001" customHeight="1" x14ac:dyDescent="0.25">
      <c r="A1869" s="8">
        <f t="shared" si="29"/>
        <v>1866</v>
      </c>
      <c r="B1869" s="21" t="s">
        <v>2003</v>
      </c>
      <c r="C1869" s="21" t="s">
        <v>2004</v>
      </c>
      <c r="D1869" s="22" t="s">
        <v>2005</v>
      </c>
      <c r="E1869" s="22" t="s">
        <v>24</v>
      </c>
      <c r="F1869" s="22" t="s">
        <v>2006</v>
      </c>
      <c r="G1869" s="23">
        <v>30237</v>
      </c>
      <c r="H1869" s="22" t="s">
        <v>438</v>
      </c>
      <c r="I1869" s="22" t="s">
        <v>26</v>
      </c>
      <c r="J1869" s="22" t="s">
        <v>20</v>
      </c>
      <c r="K1869" s="10" t="str">
        <f ca="1">DATEDIF('DATA PENDUDUK'!$G1869,TODAY(),"Y")&amp; " TAHUN"</f>
        <v>42 TAHUN</v>
      </c>
      <c r="L1869" s="24" t="s">
        <v>4471</v>
      </c>
    </row>
    <row r="1870" spans="1:12" ht="20.100000000000001" customHeight="1" x14ac:dyDescent="0.25">
      <c r="A1870" s="8">
        <f t="shared" si="29"/>
        <v>1867</v>
      </c>
      <c r="B1870" s="21" t="s">
        <v>2003</v>
      </c>
      <c r="C1870" s="21" t="s">
        <v>2007</v>
      </c>
      <c r="D1870" s="22" t="s">
        <v>2008</v>
      </c>
      <c r="E1870" s="22" t="s">
        <v>671</v>
      </c>
      <c r="F1870" s="22" t="s">
        <v>30</v>
      </c>
      <c r="G1870" s="23">
        <v>41275</v>
      </c>
      <c r="H1870" s="22" t="s">
        <v>438</v>
      </c>
      <c r="I1870" s="22" t="s">
        <v>31</v>
      </c>
      <c r="J1870" s="22" t="s">
        <v>32</v>
      </c>
      <c r="K1870" s="10" t="str">
        <f ca="1">DATEDIF('DATA PENDUDUK'!$G1870,TODAY(),"Y")&amp; " TAHUN"</f>
        <v>12 TAHUN</v>
      </c>
      <c r="L1870" s="24" t="s">
        <v>4471</v>
      </c>
    </row>
    <row r="1871" spans="1:12" ht="20.100000000000001" customHeight="1" x14ac:dyDescent="0.25">
      <c r="A1871" s="8">
        <f t="shared" si="29"/>
        <v>1868</v>
      </c>
      <c r="B1871" s="21" t="s">
        <v>4484</v>
      </c>
      <c r="C1871" s="21" t="s">
        <v>4485</v>
      </c>
      <c r="D1871" s="22" t="s">
        <v>4486</v>
      </c>
      <c r="E1871" s="22" t="s">
        <v>24</v>
      </c>
      <c r="F1871" s="22" t="s">
        <v>4487</v>
      </c>
      <c r="G1871" s="23">
        <v>27549</v>
      </c>
      <c r="H1871" s="22" t="s">
        <v>438</v>
      </c>
      <c r="I1871" s="22" t="s">
        <v>26</v>
      </c>
      <c r="J1871" s="22" t="s">
        <v>20</v>
      </c>
      <c r="K1871" s="10" t="str">
        <f ca="1">DATEDIF('DATA PENDUDUK'!$G1871,TODAY(),"Y")&amp; " TAHUN"</f>
        <v>50 TAHUN</v>
      </c>
      <c r="L1871" s="24" t="s">
        <v>4471</v>
      </c>
    </row>
    <row r="1872" spans="1:12" ht="20.100000000000001" customHeight="1" x14ac:dyDescent="0.25">
      <c r="A1872" s="8">
        <f t="shared" si="29"/>
        <v>1869</v>
      </c>
      <c r="B1872" s="21" t="s">
        <v>4488</v>
      </c>
      <c r="C1872" s="21" t="s">
        <v>4489</v>
      </c>
      <c r="D1872" s="22" t="s">
        <v>4490</v>
      </c>
      <c r="E1872" s="22" t="s">
        <v>24</v>
      </c>
      <c r="F1872" s="22" t="s">
        <v>955</v>
      </c>
      <c r="G1872" s="23">
        <v>34534</v>
      </c>
      <c r="H1872" s="22" t="s">
        <v>438</v>
      </c>
      <c r="I1872" s="22" t="s">
        <v>40</v>
      </c>
      <c r="J1872" s="22" t="s">
        <v>20</v>
      </c>
      <c r="K1872" s="10" t="str">
        <f ca="1">DATEDIF('DATA PENDUDUK'!$G1872,TODAY(),"Y")&amp; " TAHUN"</f>
        <v>31 TAHUN</v>
      </c>
      <c r="L1872" s="24" t="s">
        <v>4471</v>
      </c>
    </row>
    <row r="1873" spans="1:12" ht="20.100000000000001" customHeight="1" x14ac:dyDescent="0.25">
      <c r="A1873" s="8">
        <f t="shared" si="29"/>
        <v>1870</v>
      </c>
      <c r="B1873" s="21" t="s">
        <v>4488</v>
      </c>
      <c r="C1873" s="21" t="s">
        <v>4491</v>
      </c>
      <c r="D1873" s="22" t="s">
        <v>4492</v>
      </c>
      <c r="E1873" s="22" t="s">
        <v>671</v>
      </c>
      <c r="F1873" s="22" t="s">
        <v>30</v>
      </c>
      <c r="G1873" s="23">
        <v>44440</v>
      </c>
      <c r="H1873" s="22" t="s">
        <v>438</v>
      </c>
      <c r="I1873" s="22" t="s">
        <v>40</v>
      </c>
      <c r="J1873" s="22" t="s">
        <v>32</v>
      </c>
      <c r="K1873" s="10" t="str">
        <f ca="1">DATEDIF('DATA PENDUDUK'!$G1873,TODAY(),"Y")&amp; " TAHUN"</f>
        <v>3 TAHUN</v>
      </c>
      <c r="L1873" s="24" t="s">
        <v>4471</v>
      </c>
    </row>
    <row r="1874" spans="1:12" ht="20.100000000000001" customHeight="1" x14ac:dyDescent="0.25">
      <c r="A1874" s="8">
        <f t="shared" si="29"/>
        <v>1871</v>
      </c>
      <c r="B1874" s="21" t="s">
        <v>4488</v>
      </c>
      <c r="C1874" s="21" t="s">
        <v>4493</v>
      </c>
      <c r="D1874" s="22" t="s">
        <v>4494</v>
      </c>
      <c r="E1874" s="22" t="s">
        <v>671</v>
      </c>
      <c r="F1874" s="22" t="s">
        <v>30</v>
      </c>
      <c r="G1874" s="23">
        <v>45261</v>
      </c>
      <c r="H1874" s="22" t="s">
        <v>438</v>
      </c>
      <c r="I1874" s="22" t="s">
        <v>40</v>
      </c>
      <c r="J1874" s="22" t="s">
        <v>32</v>
      </c>
      <c r="K1874" s="10" t="str">
        <f ca="1">DATEDIF('DATA PENDUDUK'!$G1874,TODAY(),"Y")&amp; " TAHUN"</f>
        <v>1 TAHUN</v>
      </c>
      <c r="L1874" s="24" t="s">
        <v>4471</v>
      </c>
    </row>
    <row r="1875" spans="1:12" ht="20.100000000000001" customHeight="1" x14ac:dyDescent="0.25">
      <c r="A1875" s="8">
        <f t="shared" si="29"/>
        <v>1872</v>
      </c>
      <c r="B1875" s="21" t="s">
        <v>4495</v>
      </c>
      <c r="C1875" s="21" t="s">
        <v>3925</v>
      </c>
      <c r="D1875" s="22" t="s">
        <v>3926</v>
      </c>
      <c r="E1875" s="22" t="s">
        <v>671</v>
      </c>
      <c r="F1875" s="22" t="s">
        <v>955</v>
      </c>
      <c r="G1875" s="23">
        <v>35691</v>
      </c>
      <c r="H1875" s="22" t="s">
        <v>438</v>
      </c>
      <c r="I1875" s="22" t="s">
        <v>40</v>
      </c>
      <c r="J1875" s="22" t="s">
        <v>20</v>
      </c>
      <c r="K1875" s="10" t="str">
        <f ca="1">DATEDIF('DATA PENDUDUK'!$G1875,TODAY(),"Y")&amp; " TAHUN"</f>
        <v>27 TAHUN</v>
      </c>
      <c r="L1875" s="24" t="s">
        <v>4471</v>
      </c>
    </row>
    <row r="1876" spans="1:12" ht="20.100000000000001" customHeight="1" x14ac:dyDescent="0.25">
      <c r="A1876" s="8">
        <f t="shared" si="29"/>
        <v>1873</v>
      </c>
      <c r="B1876" s="21" t="s">
        <v>4495</v>
      </c>
      <c r="C1876" s="21" t="s">
        <v>4496</v>
      </c>
      <c r="D1876" s="22" t="s">
        <v>4497</v>
      </c>
      <c r="E1876" s="22" t="s">
        <v>671</v>
      </c>
      <c r="F1876" s="22" t="s">
        <v>30</v>
      </c>
      <c r="G1876" s="23">
        <v>42135</v>
      </c>
      <c r="H1876" s="22" t="s">
        <v>438</v>
      </c>
      <c r="I1876" s="22" t="s">
        <v>31</v>
      </c>
      <c r="J1876" s="22" t="s">
        <v>32</v>
      </c>
      <c r="K1876" s="10" t="str">
        <f ca="1">DATEDIF('DATA PENDUDUK'!$G1876,TODAY(),"Y")&amp; " TAHUN"</f>
        <v>10 TAHUN</v>
      </c>
      <c r="L1876" s="24" t="s">
        <v>4471</v>
      </c>
    </row>
    <row r="1877" spans="1:12" ht="20.100000000000001" customHeight="1" x14ac:dyDescent="0.25">
      <c r="A1877" s="8">
        <f t="shared" si="29"/>
        <v>1874</v>
      </c>
      <c r="B1877" s="21" t="s">
        <v>4495</v>
      </c>
      <c r="C1877" s="21" t="s">
        <v>4498</v>
      </c>
      <c r="D1877" s="22" t="s">
        <v>4499</v>
      </c>
      <c r="E1877" s="22" t="s">
        <v>24</v>
      </c>
      <c r="F1877" s="22" t="s">
        <v>955</v>
      </c>
      <c r="G1877" s="23">
        <v>36514</v>
      </c>
      <c r="H1877" s="22" t="s">
        <v>438</v>
      </c>
      <c r="I1877" s="22" t="s">
        <v>40</v>
      </c>
      <c r="J1877" s="22" t="s">
        <v>37</v>
      </c>
      <c r="K1877" s="10" t="str">
        <f ca="1">DATEDIF('DATA PENDUDUK'!$G1877,TODAY(),"Y")&amp; " TAHUN"</f>
        <v>25 TAHUN</v>
      </c>
      <c r="L1877" s="24" t="s">
        <v>4471</v>
      </c>
    </row>
    <row r="1878" spans="1:12" ht="20.100000000000001" customHeight="1" x14ac:dyDescent="0.25">
      <c r="A1878" s="8">
        <f t="shared" si="29"/>
        <v>1875</v>
      </c>
      <c r="B1878" s="21" t="s">
        <v>4500</v>
      </c>
      <c r="C1878" s="21" t="s">
        <v>4501</v>
      </c>
      <c r="D1878" s="22" t="s">
        <v>4502</v>
      </c>
      <c r="E1878" s="22" t="s">
        <v>671</v>
      </c>
      <c r="F1878" s="22" t="s">
        <v>955</v>
      </c>
      <c r="G1878" s="23">
        <v>35554</v>
      </c>
      <c r="H1878" s="22" t="s">
        <v>438</v>
      </c>
      <c r="I1878" s="22" t="s">
        <v>36</v>
      </c>
      <c r="J1878" s="22" t="s">
        <v>20</v>
      </c>
      <c r="K1878" s="10" t="str">
        <f ca="1">DATEDIF('DATA PENDUDUK'!$G1878,TODAY(),"Y")&amp; " TAHUN"</f>
        <v>28 TAHUN</v>
      </c>
      <c r="L1878" s="24" t="s">
        <v>4471</v>
      </c>
    </row>
    <row r="1879" spans="1:12" ht="20.100000000000001" customHeight="1" x14ac:dyDescent="0.25">
      <c r="A1879" s="8">
        <f t="shared" si="29"/>
        <v>1876</v>
      </c>
      <c r="B1879" s="21" t="s">
        <v>4500</v>
      </c>
      <c r="C1879" s="21" t="s">
        <v>4503</v>
      </c>
      <c r="D1879" s="22" t="s">
        <v>4504</v>
      </c>
      <c r="E1879" s="22" t="s">
        <v>24</v>
      </c>
      <c r="F1879" s="22" t="s">
        <v>955</v>
      </c>
      <c r="G1879" s="23">
        <v>35554</v>
      </c>
      <c r="H1879" s="22" t="s">
        <v>438</v>
      </c>
      <c r="I1879" s="22" t="s">
        <v>40</v>
      </c>
      <c r="J1879" s="22" t="s">
        <v>27</v>
      </c>
      <c r="K1879" s="10" t="str">
        <f ca="1">DATEDIF('DATA PENDUDUK'!$G1879,TODAY(),"Y")&amp; " TAHUN"</f>
        <v>28 TAHUN</v>
      </c>
      <c r="L1879" s="24" t="s">
        <v>4471</v>
      </c>
    </row>
    <row r="1880" spans="1:12" ht="20.100000000000001" customHeight="1" x14ac:dyDescent="0.25">
      <c r="A1880" s="8">
        <f t="shared" si="29"/>
        <v>1877</v>
      </c>
      <c r="B1880" s="21" t="s">
        <v>4500</v>
      </c>
      <c r="C1880" s="21" t="s">
        <v>4505</v>
      </c>
      <c r="D1880" s="22" t="s">
        <v>4506</v>
      </c>
      <c r="E1880" s="22" t="s">
        <v>24</v>
      </c>
      <c r="F1880" s="22" t="s">
        <v>1868</v>
      </c>
      <c r="G1880" s="23">
        <v>43320</v>
      </c>
      <c r="H1880" s="22" t="s">
        <v>438</v>
      </c>
      <c r="I1880" s="22" t="s">
        <v>40</v>
      </c>
      <c r="J1880" s="22" t="s">
        <v>32</v>
      </c>
      <c r="K1880" s="10" t="str">
        <f ca="1">DATEDIF('DATA PENDUDUK'!$G1880,TODAY(),"Y")&amp; " TAHUN"</f>
        <v>6 TAHUN</v>
      </c>
      <c r="L1880" s="24" t="s">
        <v>4471</v>
      </c>
    </row>
    <row r="1881" spans="1:12" ht="20.100000000000001" customHeight="1" x14ac:dyDescent="0.25">
      <c r="A1881" s="8">
        <f t="shared" si="29"/>
        <v>1878</v>
      </c>
      <c r="B1881" s="21" t="s">
        <v>4500</v>
      </c>
      <c r="C1881" s="21" t="s">
        <v>4507</v>
      </c>
      <c r="D1881" s="22" t="s">
        <v>4508</v>
      </c>
      <c r="E1881" s="22" t="s">
        <v>671</v>
      </c>
      <c r="F1881" s="22" t="s">
        <v>1868</v>
      </c>
      <c r="G1881" s="23">
        <v>44664</v>
      </c>
      <c r="H1881" s="22" t="s">
        <v>438</v>
      </c>
      <c r="I1881" s="22" t="s">
        <v>40</v>
      </c>
      <c r="J1881" s="22" t="s">
        <v>32</v>
      </c>
      <c r="K1881" s="10" t="str">
        <f ca="1">DATEDIF('DATA PENDUDUK'!$G1881,TODAY(),"Y")&amp; " TAHUN"</f>
        <v>3 TAHUN</v>
      </c>
      <c r="L1881" s="24" t="s">
        <v>4471</v>
      </c>
    </row>
    <row r="1882" spans="1:12" ht="20.100000000000001" customHeight="1" x14ac:dyDescent="0.25">
      <c r="A1882" s="8">
        <f t="shared" si="29"/>
        <v>1879</v>
      </c>
      <c r="B1882" s="21" t="s">
        <v>4509</v>
      </c>
      <c r="C1882" s="21" t="s">
        <v>4510</v>
      </c>
      <c r="D1882" s="22" t="s">
        <v>4511</v>
      </c>
      <c r="E1882" s="22" t="s">
        <v>671</v>
      </c>
      <c r="F1882" s="22" t="s">
        <v>1212</v>
      </c>
      <c r="G1882" s="23">
        <v>28832</v>
      </c>
      <c r="H1882" s="22" t="s">
        <v>438</v>
      </c>
      <c r="I1882" s="22" t="s">
        <v>36</v>
      </c>
      <c r="J1882" s="22" t="s">
        <v>20</v>
      </c>
      <c r="K1882" s="10" t="str">
        <f ca="1">DATEDIF('DATA PENDUDUK'!$G1882,TODAY(),"Y")&amp; " TAHUN"</f>
        <v>46 TAHUN</v>
      </c>
      <c r="L1882" s="24" t="s">
        <v>4471</v>
      </c>
    </row>
    <row r="1883" spans="1:12" ht="20.100000000000001" customHeight="1" x14ac:dyDescent="0.25">
      <c r="A1883" s="8">
        <f t="shared" si="29"/>
        <v>1880</v>
      </c>
      <c r="B1883" s="21" t="s">
        <v>4512</v>
      </c>
      <c r="C1883" s="21" t="s">
        <v>4513</v>
      </c>
      <c r="D1883" s="22" t="s">
        <v>4514</v>
      </c>
      <c r="E1883" s="22" t="s">
        <v>671</v>
      </c>
      <c r="F1883" s="22" t="s">
        <v>30</v>
      </c>
      <c r="G1883" s="23">
        <v>34101</v>
      </c>
      <c r="H1883" s="22" t="s">
        <v>438</v>
      </c>
      <c r="I1883" s="22" t="s">
        <v>40</v>
      </c>
      <c r="J1883" s="22" t="s">
        <v>20</v>
      </c>
      <c r="K1883" s="10" t="str">
        <f ca="1">DATEDIF('DATA PENDUDUK'!$G1883,TODAY(),"Y")&amp; " TAHUN"</f>
        <v>32 TAHUN</v>
      </c>
      <c r="L1883" s="24" t="s">
        <v>4471</v>
      </c>
    </row>
    <row r="1884" spans="1:12" ht="20.100000000000001" customHeight="1" x14ac:dyDescent="0.25">
      <c r="A1884" s="8">
        <f t="shared" si="29"/>
        <v>1881</v>
      </c>
      <c r="B1884" s="21" t="s">
        <v>4512</v>
      </c>
      <c r="C1884" s="21" t="s">
        <v>4515</v>
      </c>
      <c r="D1884" s="22" t="s">
        <v>4516</v>
      </c>
      <c r="E1884" s="22" t="s">
        <v>24</v>
      </c>
      <c r="F1884" s="22" t="s">
        <v>4517</v>
      </c>
      <c r="G1884" s="23">
        <v>36355</v>
      </c>
      <c r="H1884" s="22" t="s">
        <v>438</v>
      </c>
      <c r="I1884" s="22" t="s">
        <v>40</v>
      </c>
      <c r="J1884" s="22" t="s">
        <v>27</v>
      </c>
      <c r="K1884" s="10" t="str">
        <f ca="1">DATEDIF('DATA PENDUDUK'!$G1884,TODAY(),"Y")&amp; " TAHUN"</f>
        <v>26 TAHUN</v>
      </c>
      <c r="L1884" s="24" t="s">
        <v>4471</v>
      </c>
    </row>
    <row r="1885" spans="1:12" ht="20.100000000000001" customHeight="1" x14ac:dyDescent="0.25">
      <c r="A1885" s="8">
        <f t="shared" si="29"/>
        <v>1882</v>
      </c>
      <c r="B1885" s="21" t="s">
        <v>4512</v>
      </c>
      <c r="C1885" s="21" t="s">
        <v>4518</v>
      </c>
      <c r="D1885" s="22" t="s">
        <v>4519</v>
      </c>
      <c r="E1885" s="22" t="s">
        <v>24</v>
      </c>
      <c r="F1885" s="22" t="s">
        <v>30</v>
      </c>
      <c r="G1885" s="23">
        <v>42128</v>
      </c>
      <c r="H1885" s="22" t="s">
        <v>438</v>
      </c>
      <c r="I1885" s="22" t="s">
        <v>31</v>
      </c>
      <c r="J1885" s="22" t="s">
        <v>32</v>
      </c>
      <c r="K1885" s="10" t="str">
        <f ca="1">DATEDIF('DATA PENDUDUK'!$G1885,TODAY(),"Y")&amp; " TAHUN"</f>
        <v>10 TAHUN</v>
      </c>
      <c r="L1885" s="24" t="s">
        <v>4471</v>
      </c>
    </row>
    <row r="1886" spans="1:12" ht="20.100000000000001" customHeight="1" x14ac:dyDescent="0.25">
      <c r="A1886" s="8">
        <f t="shared" si="29"/>
        <v>1883</v>
      </c>
      <c r="B1886" s="21" t="s">
        <v>4512</v>
      </c>
      <c r="C1886" s="21" t="s">
        <v>4520</v>
      </c>
      <c r="D1886" s="22" t="s">
        <v>4521</v>
      </c>
      <c r="E1886" s="22" t="s">
        <v>671</v>
      </c>
      <c r="F1886" s="22" t="s">
        <v>30</v>
      </c>
      <c r="G1886" s="23">
        <v>42477</v>
      </c>
      <c r="H1886" s="22" t="s">
        <v>438</v>
      </c>
      <c r="I1886" s="22" t="s">
        <v>31</v>
      </c>
      <c r="J1886" s="22" t="s">
        <v>32</v>
      </c>
      <c r="K1886" s="10" t="str">
        <f ca="1">DATEDIF('DATA PENDUDUK'!$G1886,TODAY(),"Y")&amp; " TAHUN"</f>
        <v>9 TAHUN</v>
      </c>
      <c r="L1886" s="24" t="s">
        <v>4471</v>
      </c>
    </row>
    <row r="1887" spans="1:12" ht="20.100000000000001" customHeight="1" x14ac:dyDescent="0.25">
      <c r="A1887" s="8">
        <f t="shared" si="29"/>
        <v>1884</v>
      </c>
      <c r="B1887" s="21" t="s">
        <v>4512</v>
      </c>
      <c r="C1887" s="21" t="s">
        <v>4522</v>
      </c>
      <c r="D1887" s="22" t="s">
        <v>4523</v>
      </c>
      <c r="E1887" s="22" t="s">
        <v>671</v>
      </c>
      <c r="F1887" s="22" t="s">
        <v>30</v>
      </c>
      <c r="G1887" s="23">
        <v>42591</v>
      </c>
      <c r="H1887" s="22" t="s">
        <v>438</v>
      </c>
      <c r="I1887" s="22" t="s">
        <v>31</v>
      </c>
      <c r="J1887" s="22" t="s">
        <v>32</v>
      </c>
      <c r="K1887" s="10" t="str">
        <f ca="1">DATEDIF('DATA PENDUDUK'!$G1887,TODAY(),"Y")&amp; " TAHUN"</f>
        <v>8 TAHUN</v>
      </c>
      <c r="L1887" s="24" t="s">
        <v>4471</v>
      </c>
    </row>
    <row r="1888" spans="1:12" ht="20.100000000000001" customHeight="1" x14ac:dyDescent="0.25">
      <c r="A1888" s="8">
        <f t="shared" si="29"/>
        <v>1885</v>
      </c>
      <c r="B1888" s="21" t="s">
        <v>4512</v>
      </c>
      <c r="C1888" s="21" t="s">
        <v>4524</v>
      </c>
      <c r="D1888" s="22" t="s">
        <v>4525</v>
      </c>
      <c r="E1888" s="22" t="s">
        <v>24</v>
      </c>
      <c r="F1888" s="22" t="s">
        <v>30</v>
      </c>
      <c r="G1888" s="23">
        <v>43034</v>
      </c>
      <c r="H1888" s="22" t="s">
        <v>438</v>
      </c>
      <c r="I1888" s="22" t="s">
        <v>40</v>
      </c>
      <c r="J1888" s="22" t="s">
        <v>32</v>
      </c>
      <c r="K1888" s="10" t="str">
        <f ca="1">DATEDIF('DATA PENDUDUK'!$G1888,TODAY(),"Y")&amp; " TAHUN"</f>
        <v>7 TAHUN</v>
      </c>
      <c r="L1888" s="24" t="s">
        <v>4471</v>
      </c>
    </row>
    <row r="1889" spans="1:12" ht="20.100000000000001" customHeight="1" x14ac:dyDescent="0.25">
      <c r="A1889" s="8">
        <f t="shared" si="29"/>
        <v>1886</v>
      </c>
      <c r="B1889" s="21" t="s">
        <v>4512</v>
      </c>
      <c r="C1889" s="21" t="s">
        <v>4526</v>
      </c>
      <c r="D1889" s="22" t="s">
        <v>4527</v>
      </c>
      <c r="E1889" s="22" t="s">
        <v>24</v>
      </c>
      <c r="F1889" s="22" t="s">
        <v>30</v>
      </c>
      <c r="G1889" s="23">
        <v>43688</v>
      </c>
      <c r="H1889" s="22" t="s">
        <v>438</v>
      </c>
      <c r="I1889" s="22" t="s">
        <v>40</v>
      </c>
      <c r="J1889" s="22" t="s">
        <v>32</v>
      </c>
      <c r="K1889" s="10" t="str">
        <f ca="1">DATEDIF('DATA PENDUDUK'!$G1889,TODAY(),"Y")&amp; " TAHUN"</f>
        <v>5 TAHUN</v>
      </c>
      <c r="L1889" s="24" t="s">
        <v>4471</v>
      </c>
    </row>
    <row r="1890" spans="1:12" ht="20.100000000000001" customHeight="1" x14ac:dyDescent="0.25">
      <c r="A1890" s="8">
        <f t="shared" si="29"/>
        <v>1887</v>
      </c>
      <c r="B1890" s="21" t="s">
        <v>4512</v>
      </c>
      <c r="C1890" s="21" t="s">
        <v>4528</v>
      </c>
      <c r="D1890" s="22" t="s">
        <v>4529</v>
      </c>
      <c r="E1890" s="22" t="s">
        <v>24</v>
      </c>
      <c r="F1890" s="22" t="s">
        <v>30</v>
      </c>
      <c r="G1890" s="23">
        <v>44163</v>
      </c>
      <c r="H1890" s="22" t="s">
        <v>438</v>
      </c>
      <c r="I1890" s="22" t="s">
        <v>40</v>
      </c>
      <c r="J1890" s="22" t="s">
        <v>32</v>
      </c>
      <c r="K1890" s="10" t="str">
        <f ca="1">DATEDIF('DATA PENDUDUK'!$G1890,TODAY(),"Y")&amp; " TAHUN"</f>
        <v>4 TAHUN</v>
      </c>
      <c r="L1890" s="24" t="s">
        <v>4471</v>
      </c>
    </row>
    <row r="1891" spans="1:12" ht="20.100000000000001" customHeight="1" x14ac:dyDescent="0.25">
      <c r="A1891" s="8">
        <f t="shared" si="29"/>
        <v>1888</v>
      </c>
      <c r="B1891" s="21" t="s">
        <v>4512</v>
      </c>
      <c r="C1891" s="21" t="s">
        <v>4530</v>
      </c>
      <c r="D1891" s="22" t="s">
        <v>4531</v>
      </c>
      <c r="E1891" s="22" t="s">
        <v>24</v>
      </c>
      <c r="F1891" s="22" t="s">
        <v>30</v>
      </c>
      <c r="G1891" s="23">
        <v>44833</v>
      </c>
      <c r="H1891" s="22" t="s">
        <v>438</v>
      </c>
      <c r="I1891" s="22" t="s">
        <v>40</v>
      </c>
      <c r="J1891" s="22" t="s">
        <v>32</v>
      </c>
      <c r="K1891" s="10" t="str">
        <f ca="1">DATEDIF('DATA PENDUDUK'!$G1891,TODAY(),"Y")&amp; " TAHUN"</f>
        <v>2 TAHUN</v>
      </c>
      <c r="L1891" s="24" t="s">
        <v>4471</v>
      </c>
    </row>
    <row r="1892" spans="1:12" ht="20.100000000000001" customHeight="1" x14ac:dyDescent="0.25">
      <c r="A1892" s="8">
        <f t="shared" si="29"/>
        <v>1889</v>
      </c>
      <c r="B1892" s="21" t="s">
        <v>4532</v>
      </c>
      <c r="C1892" s="21" t="s">
        <v>4533</v>
      </c>
      <c r="D1892" s="22" t="s">
        <v>4534</v>
      </c>
      <c r="E1892" s="22" t="s">
        <v>671</v>
      </c>
      <c r="F1892" s="22" t="s">
        <v>4535</v>
      </c>
      <c r="G1892" s="23">
        <v>34122</v>
      </c>
      <c r="H1892" s="22" t="s">
        <v>438</v>
      </c>
      <c r="I1892" s="22" t="s">
        <v>36</v>
      </c>
      <c r="J1892" s="22" t="s">
        <v>20</v>
      </c>
      <c r="K1892" s="10" t="str">
        <f ca="1">DATEDIF('DATA PENDUDUK'!$G1892,TODAY(),"Y")&amp; " TAHUN"</f>
        <v>32 TAHUN</v>
      </c>
      <c r="L1892" s="24" t="s">
        <v>4471</v>
      </c>
    </row>
    <row r="1893" spans="1:12" ht="20.100000000000001" customHeight="1" x14ac:dyDescent="0.25">
      <c r="A1893" s="8">
        <f t="shared" si="29"/>
        <v>1890</v>
      </c>
      <c r="B1893" s="21" t="s">
        <v>4532</v>
      </c>
      <c r="C1893" s="21" t="s">
        <v>4536</v>
      </c>
      <c r="D1893" s="22" t="s">
        <v>4537</v>
      </c>
      <c r="E1893" s="22" t="s">
        <v>24</v>
      </c>
      <c r="F1893" s="22" t="s">
        <v>4538</v>
      </c>
      <c r="G1893" s="23">
        <v>35861</v>
      </c>
      <c r="H1893" s="22" t="s">
        <v>438</v>
      </c>
      <c r="I1893" s="22" t="s">
        <v>40</v>
      </c>
      <c r="J1893" s="22" t="s">
        <v>27</v>
      </c>
      <c r="K1893" s="10" t="str">
        <f ca="1">DATEDIF('DATA PENDUDUK'!$G1893,TODAY(),"Y")&amp; " TAHUN"</f>
        <v>27 TAHUN</v>
      </c>
      <c r="L1893" s="24" t="s">
        <v>4471</v>
      </c>
    </row>
    <row r="1894" spans="1:12" ht="20.100000000000001" customHeight="1" x14ac:dyDescent="0.25">
      <c r="A1894" s="8">
        <f t="shared" si="29"/>
        <v>1891</v>
      </c>
      <c r="B1894" s="21" t="s">
        <v>4532</v>
      </c>
      <c r="C1894" s="21" t="s">
        <v>4539</v>
      </c>
      <c r="D1894" s="22" t="s">
        <v>4540</v>
      </c>
      <c r="E1894" s="22" t="s">
        <v>671</v>
      </c>
      <c r="F1894" s="22" t="s">
        <v>376</v>
      </c>
      <c r="G1894" s="23">
        <v>38942</v>
      </c>
      <c r="H1894" s="22" t="s">
        <v>438</v>
      </c>
      <c r="I1894" s="22" t="s">
        <v>40</v>
      </c>
      <c r="J1894" s="22" t="s">
        <v>32</v>
      </c>
      <c r="K1894" s="10" t="str">
        <f ca="1">DATEDIF('DATA PENDUDUK'!$G1894,TODAY(),"Y")&amp; " TAHUN"</f>
        <v>18 TAHUN</v>
      </c>
      <c r="L1894" s="24" t="s">
        <v>4471</v>
      </c>
    </row>
    <row r="1895" spans="1:12" ht="20.100000000000001" customHeight="1" x14ac:dyDescent="0.25">
      <c r="A1895" s="8">
        <f t="shared" si="29"/>
        <v>1892</v>
      </c>
      <c r="B1895" s="21" t="s">
        <v>4532</v>
      </c>
      <c r="C1895" s="21" t="s">
        <v>4541</v>
      </c>
      <c r="D1895" s="22" t="s">
        <v>4542</v>
      </c>
      <c r="E1895" s="22" t="s">
        <v>671</v>
      </c>
      <c r="F1895" s="22" t="s">
        <v>376</v>
      </c>
      <c r="G1895" s="23">
        <v>41140</v>
      </c>
      <c r="H1895" s="22" t="s">
        <v>438</v>
      </c>
      <c r="I1895" s="22" t="s">
        <v>31</v>
      </c>
      <c r="J1895" s="22" t="s">
        <v>32</v>
      </c>
      <c r="K1895" s="10" t="str">
        <f ca="1">DATEDIF('DATA PENDUDUK'!$G1895,TODAY(),"Y")&amp; " TAHUN"</f>
        <v>12 TAHUN</v>
      </c>
      <c r="L1895" s="24" t="s">
        <v>4471</v>
      </c>
    </row>
    <row r="1896" spans="1:12" ht="20.100000000000001" customHeight="1" x14ac:dyDescent="0.25">
      <c r="A1896" s="8">
        <f t="shared" si="29"/>
        <v>1893</v>
      </c>
      <c r="B1896" s="21" t="s">
        <v>4543</v>
      </c>
      <c r="C1896" s="21" t="s">
        <v>4544</v>
      </c>
      <c r="D1896" s="22" t="s">
        <v>4545</v>
      </c>
      <c r="E1896" s="22" t="s">
        <v>24</v>
      </c>
      <c r="F1896" s="22" t="s">
        <v>1212</v>
      </c>
      <c r="G1896" s="23">
        <v>38072</v>
      </c>
      <c r="H1896" s="22" t="s">
        <v>438</v>
      </c>
      <c r="I1896" s="22" t="s">
        <v>40</v>
      </c>
      <c r="J1896" s="22" t="s">
        <v>20</v>
      </c>
      <c r="K1896" s="10" t="str">
        <f ca="1">DATEDIF('DATA PENDUDUK'!$G1896,TODAY(),"Y")&amp; " TAHUN"</f>
        <v>21 TAHUN</v>
      </c>
      <c r="L1896" s="24" t="s">
        <v>4471</v>
      </c>
    </row>
    <row r="1897" spans="1:12" ht="20.100000000000001" customHeight="1" x14ac:dyDescent="0.25">
      <c r="A1897" s="8">
        <f t="shared" si="29"/>
        <v>1894</v>
      </c>
      <c r="B1897" s="21" t="s">
        <v>4543</v>
      </c>
      <c r="C1897" s="21" t="s">
        <v>4546</v>
      </c>
      <c r="D1897" s="22" t="s">
        <v>4547</v>
      </c>
      <c r="E1897" s="22" t="s">
        <v>24</v>
      </c>
      <c r="F1897" s="22" t="s">
        <v>30</v>
      </c>
      <c r="G1897" s="23">
        <v>39272</v>
      </c>
      <c r="H1897" s="22" t="s">
        <v>438</v>
      </c>
      <c r="I1897" s="22" t="s">
        <v>40</v>
      </c>
      <c r="J1897" s="22" t="s">
        <v>37</v>
      </c>
      <c r="K1897" s="10" t="str">
        <f ca="1">DATEDIF('DATA PENDUDUK'!$G1897,TODAY(),"Y")&amp; " TAHUN"</f>
        <v>18 TAHUN</v>
      </c>
      <c r="L1897" s="24" t="s">
        <v>4471</v>
      </c>
    </row>
    <row r="1898" spans="1:12" ht="20.100000000000001" customHeight="1" x14ac:dyDescent="0.25">
      <c r="A1898" s="8">
        <f t="shared" si="29"/>
        <v>1895</v>
      </c>
      <c r="B1898" s="21" t="s">
        <v>4543</v>
      </c>
      <c r="C1898" s="21" t="s">
        <v>4548</v>
      </c>
      <c r="D1898" s="22" t="s">
        <v>4549</v>
      </c>
      <c r="E1898" s="22" t="s">
        <v>671</v>
      </c>
      <c r="F1898" s="22" t="s">
        <v>30</v>
      </c>
      <c r="G1898" s="23">
        <v>40355</v>
      </c>
      <c r="H1898" s="22" t="s">
        <v>438</v>
      </c>
      <c r="I1898" s="22" t="s">
        <v>31</v>
      </c>
      <c r="J1898" s="22" t="s">
        <v>37</v>
      </c>
      <c r="K1898" s="10" t="str">
        <f ca="1">DATEDIF('DATA PENDUDUK'!$G1898,TODAY(),"Y")&amp; " TAHUN"</f>
        <v>15 TAHUN</v>
      </c>
      <c r="L1898" s="24" t="s">
        <v>4471</v>
      </c>
    </row>
    <row r="1899" spans="1:12" ht="20.100000000000001" customHeight="1" x14ac:dyDescent="0.25">
      <c r="A1899" s="8">
        <f t="shared" si="29"/>
        <v>1896</v>
      </c>
      <c r="B1899" s="21" t="s">
        <v>4550</v>
      </c>
      <c r="C1899" s="21" t="s">
        <v>4551</v>
      </c>
      <c r="D1899" s="22" t="s">
        <v>4552</v>
      </c>
      <c r="E1899" s="22" t="s">
        <v>671</v>
      </c>
      <c r="F1899" s="22" t="s">
        <v>955</v>
      </c>
      <c r="G1899" s="23">
        <v>28948</v>
      </c>
      <c r="H1899" s="22" t="s">
        <v>438</v>
      </c>
      <c r="I1899" s="22" t="s">
        <v>36</v>
      </c>
      <c r="J1899" s="22" t="s">
        <v>20</v>
      </c>
      <c r="K1899" s="10" t="str">
        <f ca="1">DATEDIF('DATA PENDUDUK'!$G1899,TODAY(),"Y")&amp; " TAHUN"</f>
        <v>46 TAHUN</v>
      </c>
      <c r="L1899" s="24" t="s">
        <v>4471</v>
      </c>
    </row>
    <row r="1900" spans="1:12" ht="20.100000000000001" customHeight="1" x14ac:dyDescent="0.25">
      <c r="A1900" s="8">
        <f t="shared" si="29"/>
        <v>1897</v>
      </c>
      <c r="B1900" s="21" t="s">
        <v>4550</v>
      </c>
      <c r="C1900" s="21" t="s">
        <v>4553</v>
      </c>
      <c r="D1900" s="22" t="s">
        <v>4554</v>
      </c>
      <c r="E1900" s="22" t="s">
        <v>24</v>
      </c>
      <c r="F1900" s="22" t="s">
        <v>4555</v>
      </c>
      <c r="G1900" s="23">
        <v>31790</v>
      </c>
      <c r="H1900" s="22" t="s">
        <v>438</v>
      </c>
      <c r="I1900" s="22" t="s">
        <v>26</v>
      </c>
      <c r="J1900" s="22" t="s">
        <v>27</v>
      </c>
      <c r="K1900" s="10" t="str">
        <f ca="1">DATEDIF('DATA PENDUDUK'!$G1900,TODAY(),"Y")&amp; " TAHUN"</f>
        <v>38 TAHUN</v>
      </c>
      <c r="L1900" s="24" t="s">
        <v>4471</v>
      </c>
    </row>
    <row r="1901" spans="1:12" ht="20.100000000000001" customHeight="1" x14ac:dyDescent="0.25">
      <c r="A1901" s="8">
        <f t="shared" si="29"/>
        <v>1898</v>
      </c>
      <c r="B1901" s="21" t="s">
        <v>4550</v>
      </c>
      <c r="C1901" s="21" t="s">
        <v>4556</v>
      </c>
      <c r="D1901" s="22" t="s">
        <v>4557</v>
      </c>
      <c r="E1901" s="22" t="s">
        <v>671</v>
      </c>
      <c r="F1901" s="22" t="s">
        <v>376</v>
      </c>
      <c r="G1901" s="23">
        <v>39665</v>
      </c>
      <c r="H1901" s="22" t="s">
        <v>438</v>
      </c>
      <c r="I1901" s="22" t="s">
        <v>31</v>
      </c>
      <c r="J1901" s="22" t="s">
        <v>32</v>
      </c>
      <c r="K1901" s="10" t="str">
        <f ca="1">DATEDIF('DATA PENDUDUK'!$G1901,TODAY(),"Y")&amp; " TAHUN"</f>
        <v>16 TAHUN</v>
      </c>
      <c r="L1901" s="24" t="s">
        <v>4471</v>
      </c>
    </row>
    <row r="1902" spans="1:12" ht="20.100000000000001" customHeight="1" x14ac:dyDescent="0.25">
      <c r="A1902" s="8">
        <f t="shared" si="29"/>
        <v>1899</v>
      </c>
      <c r="B1902" s="21" t="s">
        <v>4550</v>
      </c>
      <c r="C1902" s="21" t="s">
        <v>4558</v>
      </c>
      <c r="D1902" s="25" t="s">
        <v>4559</v>
      </c>
      <c r="E1902" s="22" t="s">
        <v>671</v>
      </c>
      <c r="F1902" s="22" t="s">
        <v>376</v>
      </c>
      <c r="G1902" s="23">
        <v>40118</v>
      </c>
      <c r="H1902" s="22" t="s">
        <v>438</v>
      </c>
      <c r="I1902" s="22" t="s">
        <v>31</v>
      </c>
      <c r="J1902" s="22" t="s">
        <v>32</v>
      </c>
      <c r="K1902" s="10" t="str">
        <f ca="1">DATEDIF('DATA PENDUDUK'!$G1902,TODAY(),"Y")&amp; " TAHUN"</f>
        <v>15 TAHUN</v>
      </c>
      <c r="L1902" s="24" t="s">
        <v>4471</v>
      </c>
    </row>
    <row r="1903" spans="1:12" ht="20.100000000000001" customHeight="1" x14ac:dyDescent="0.25">
      <c r="A1903" s="8">
        <f t="shared" si="29"/>
        <v>1900</v>
      </c>
      <c r="B1903" s="21" t="s">
        <v>4560</v>
      </c>
      <c r="C1903" s="21" t="s">
        <v>4561</v>
      </c>
      <c r="D1903" s="22" t="s">
        <v>4562</v>
      </c>
      <c r="E1903" s="22" t="s">
        <v>671</v>
      </c>
      <c r="F1903" s="22" t="s">
        <v>955</v>
      </c>
      <c r="G1903" s="23">
        <v>28282</v>
      </c>
      <c r="H1903" s="22" t="s">
        <v>438</v>
      </c>
      <c r="I1903" s="22" t="s">
        <v>19</v>
      </c>
      <c r="J1903" s="22" t="s">
        <v>20</v>
      </c>
      <c r="K1903" s="10" t="str">
        <f ca="1">DATEDIF('DATA PENDUDUK'!$G1903,TODAY(),"Y")&amp; " TAHUN"</f>
        <v>48 TAHUN</v>
      </c>
      <c r="L1903" s="24" t="s">
        <v>4471</v>
      </c>
    </row>
    <row r="1904" spans="1:12" ht="20.100000000000001" customHeight="1" x14ac:dyDescent="0.25">
      <c r="A1904" s="8">
        <f t="shared" si="29"/>
        <v>1901</v>
      </c>
      <c r="B1904" s="21" t="s">
        <v>4560</v>
      </c>
      <c r="C1904" s="21" t="s">
        <v>4563</v>
      </c>
      <c r="D1904" s="22" t="s">
        <v>4564</v>
      </c>
      <c r="E1904" s="22" t="s">
        <v>24</v>
      </c>
      <c r="F1904" s="22" t="s">
        <v>4565</v>
      </c>
      <c r="G1904" s="23">
        <v>29316</v>
      </c>
      <c r="H1904" s="22" t="s">
        <v>438</v>
      </c>
      <c r="I1904" s="22" t="s">
        <v>26</v>
      </c>
      <c r="J1904" s="22" t="s">
        <v>27</v>
      </c>
      <c r="K1904" s="10" t="str">
        <f ca="1">DATEDIF('DATA PENDUDUK'!$G1904,TODAY(),"Y")&amp; " TAHUN"</f>
        <v>45 TAHUN</v>
      </c>
      <c r="L1904" s="24" t="s">
        <v>4471</v>
      </c>
    </row>
    <row r="1905" spans="1:12" ht="20.100000000000001" customHeight="1" x14ac:dyDescent="0.25">
      <c r="A1905" s="8">
        <f t="shared" si="29"/>
        <v>1902</v>
      </c>
      <c r="B1905" s="21" t="s">
        <v>4560</v>
      </c>
      <c r="C1905" s="21" t="s">
        <v>4566</v>
      </c>
      <c r="D1905" s="22" t="s">
        <v>4567</v>
      </c>
      <c r="E1905" s="22" t="s">
        <v>671</v>
      </c>
      <c r="F1905" s="22" t="s">
        <v>30</v>
      </c>
      <c r="G1905" s="23">
        <v>38933</v>
      </c>
      <c r="H1905" s="22" t="s">
        <v>438</v>
      </c>
      <c r="I1905" s="22" t="s">
        <v>40</v>
      </c>
      <c r="J1905" s="22" t="s">
        <v>32</v>
      </c>
      <c r="K1905" s="10" t="str">
        <f ca="1">DATEDIF('DATA PENDUDUK'!$G1905,TODAY(),"Y")&amp; " TAHUN"</f>
        <v>18 TAHUN</v>
      </c>
      <c r="L1905" s="24" t="s">
        <v>4471</v>
      </c>
    </row>
    <row r="1906" spans="1:12" ht="20.100000000000001" customHeight="1" x14ac:dyDescent="0.25">
      <c r="A1906" s="8">
        <f t="shared" si="29"/>
        <v>1903</v>
      </c>
      <c r="B1906" s="21" t="s">
        <v>4560</v>
      </c>
      <c r="C1906" s="21" t="s">
        <v>4568</v>
      </c>
      <c r="D1906" s="22" t="s">
        <v>4569</v>
      </c>
      <c r="E1906" s="22" t="s">
        <v>671</v>
      </c>
      <c r="F1906" s="22" t="s">
        <v>30</v>
      </c>
      <c r="G1906" s="23">
        <v>39136</v>
      </c>
      <c r="H1906" s="22" t="s">
        <v>438</v>
      </c>
      <c r="I1906" s="22" t="s">
        <v>40</v>
      </c>
      <c r="J1906" s="22" t="s">
        <v>32</v>
      </c>
      <c r="K1906" s="10" t="str">
        <f ca="1">DATEDIF('DATA PENDUDUK'!$G1906,TODAY(),"Y")&amp; " TAHUN"</f>
        <v>18 TAHUN</v>
      </c>
      <c r="L1906" s="24" t="s">
        <v>4471</v>
      </c>
    </row>
    <row r="1907" spans="1:12" ht="20.100000000000001" customHeight="1" x14ac:dyDescent="0.25">
      <c r="A1907" s="8">
        <f t="shared" si="29"/>
        <v>1904</v>
      </c>
      <c r="B1907" s="21" t="s">
        <v>4560</v>
      </c>
      <c r="C1907" s="21" t="s">
        <v>4570</v>
      </c>
      <c r="D1907" s="22" t="s">
        <v>4571</v>
      </c>
      <c r="E1907" s="22" t="s">
        <v>24</v>
      </c>
      <c r="F1907" s="22" t="s">
        <v>30</v>
      </c>
      <c r="G1907" s="23">
        <v>42100</v>
      </c>
      <c r="H1907" s="22" t="s">
        <v>438</v>
      </c>
      <c r="I1907" s="22" t="s">
        <v>31</v>
      </c>
      <c r="J1907" s="22" t="s">
        <v>32</v>
      </c>
      <c r="K1907" s="10" t="str">
        <f ca="1">DATEDIF('DATA PENDUDUK'!$G1907,TODAY(),"Y")&amp; " TAHUN"</f>
        <v>10 TAHUN</v>
      </c>
      <c r="L1907" s="24" t="s">
        <v>4471</v>
      </c>
    </row>
    <row r="1908" spans="1:12" ht="20.100000000000001" customHeight="1" x14ac:dyDescent="0.25">
      <c r="A1908" s="8">
        <f t="shared" si="29"/>
        <v>1905</v>
      </c>
      <c r="B1908" s="21" t="s">
        <v>4572</v>
      </c>
      <c r="C1908" s="21" t="s">
        <v>4573</v>
      </c>
      <c r="D1908" s="22" t="s">
        <v>4574</v>
      </c>
      <c r="E1908" s="22" t="s">
        <v>671</v>
      </c>
      <c r="F1908" s="22" t="s">
        <v>955</v>
      </c>
      <c r="G1908" s="23">
        <v>35251</v>
      </c>
      <c r="H1908" s="22" t="s">
        <v>438</v>
      </c>
      <c r="I1908" s="22" t="s">
        <v>747</v>
      </c>
      <c r="J1908" s="22" t="s">
        <v>20</v>
      </c>
      <c r="K1908" s="10" t="str">
        <f ca="1">DATEDIF('DATA PENDUDUK'!$G1908,TODAY(),"Y")&amp; " TAHUN"</f>
        <v>29 TAHUN</v>
      </c>
      <c r="L1908" s="24" t="s">
        <v>4471</v>
      </c>
    </row>
    <row r="1909" spans="1:12" ht="20.100000000000001" customHeight="1" x14ac:dyDescent="0.25">
      <c r="A1909" s="8">
        <f t="shared" si="29"/>
        <v>1906</v>
      </c>
      <c r="B1909" s="21" t="s">
        <v>4572</v>
      </c>
      <c r="C1909" s="21" t="s">
        <v>4575</v>
      </c>
      <c r="D1909" s="22" t="s">
        <v>4576</v>
      </c>
      <c r="E1909" s="22" t="s">
        <v>24</v>
      </c>
      <c r="F1909" s="22" t="s">
        <v>955</v>
      </c>
      <c r="G1909" s="23">
        <v>36224</v>
      </c>
      <c r="H1909" s="22" t="s">
        <v>438</v>
      </c>
      <c r="I1909" s="22" t="s">
        <v>26</v>
      </c>
      <c r="J1909" s="22" t="s">
        <v>27</v>
      </c>
      <c r="K1909" s="10" t="str">
        <f ca="1">DATEDIF('DATA PENDUDUK'!$G1909,TODAY(),"Y")&amp; " TAHUN"</f>
        <v>26 TAHUN</v>
      </c>
      <c r="L1909" s="24" t="s">
        <v>4471</v>
      </c>
    </row>
    <row r="1910" spans="1:12" ht="20.100000000000001" customHeight="1" x14ac:dyDescent="0.25">
      <c r="A1910" s="8">
        <f t="shared" si="29"/>
        <v>1907</v>
      </c>
      <c r="B1910" s="21" t="s">
        <v>4572</v>
      </c>
      <c r="C1910" s="21" t="s">
        <v>4577</v>
      </c>
      <c r="D1910" s="22" t="s">
        <v>4578</v>
      </c>
      <c r="E1910" s="22" t="s">
        <v>671</v>
      </c>
      <c r="F1910" s="22" t="s">
        <v>955</v>
      </c>
      <c r="G1910" s="23">
        <v>39117</v>
      </c>
      <c r="H1910" s="22" t="s">
        <v>438</v>
      </c>
      <c r="I1910" s="22" t="s">
        <v>40</v>
      </c>
      <c r="J1910" s="22" t="s">
        <v>32</v>
      </c>
      <c r="K1910" s="10" t="str">
        <f ca="1">DATEDIF('DATA PENDUDUK'!$G1910,TODAY(),"Y")&amp; " TAHUN"</f>
        <v>18 TAHUN</v>
      </c>
      <c r="L1910" s="24" t="s">
        <v>4471</v>
      </c>
    </row>
    <row r="1911" spans="1:12" ht="20.100000000000001" customHeight="1" x14ac:dyDescent="0.25">
      <c r="A1911" s="8">
        <f t="shared" si="29"/>
        <v>1908</v>
      </c>
      <c r="B1911" s="21" t="s">
        <v>4572</v>
      </c>
      <c r="C1911" s="21" t="s">
        <v>4579</v>
      </c>
      <c r="D1911" s="22" t="s">
        <v>4580</v>
      </c>
      <c r="E1911" s="22" t="s">
        <v>671</v>
      </c>
      <c r="F1911" s="22" t="s">
        <v>955</v>
      </c>
      <c r="G1911" s="23">
        <v>39513</v>
      </c>
      <c r="H1911" s="22" t="s">
        <v>438</v>
      </c>
      <c r="I1911" s="22" t="s">
        <v>31</v>
      </c>
      <c r="J1911" s="22" t="s">
        <v>32</v>
      </c>
      <c r="K1911" s="10" t="str">
        <f ca="1">DATEDIF('DATA PENDUDUK'!$G1911,TODAY(),"Y")&amp; " TAHUN"</f>
        <v>17 TAHUN</v>
      </c>
      <c r="L1911" s="24" t="s">
        <v>4471</v>
      </c>
    </row>
    <row r="1912" spans="1:12" ht="20.100000000000001" customHeight="1" x14ac:dyDescent="0.25">
      <c r="A1912" s="8">
        <f t="shared" si="29"/>
        <v>1909</v>
      </c>
      <c r="B1912" s="21" t="s">
        <v>4581</v>
      </c>
      <c r="C1912" s="21" t="s">
        <v>4582</v>
      </c>
      <c r="D1912" s="22" t="s">
        <v>4583</v>
      </c>
      <c r="E1912" s="22" t="s">
        <v>671</v>
      </c>
      <c r="F1912" s="22" t="s">
        <v>955</v>
      </c>
      <c r="G1912" s="23">
        <v>33702</v>
      </c>
      <c r="H1912" s="22" t="s">
        <v>438</v>
      </c>
      <c r="I1912" s="22" t="s">
        <v>40</v>
      </c>
      <c r="J1912" s="22" t="s">
        <v>20</v>
      </c>
      <c r="K1912" s="10" t="str">
        <f ca="1">DATEDIF('DATA PENDUDUK'!$G1912,TODAY(),"Y")&amp; " TAHUN"</f>
        <v>33 TAHUN</v>
      </c>
      <c r="L1912" s="24" t="s">
        <v>4471</v>
      </c>
    </row>
    <row r="1913" spans="1:12" ht="20.100000000000001" customHeight="1" x14ac:dyDescent="0.25">
      <c r="A1913" s="8">
        <f t="shared" si="29"/>
        <v>1910</v>
      </c>
      <c r="B1913" s="21" t="s">
        <v>4581</v>
      </c>
      <c r="C1913" s="21" t="s">
        <v>4584</v>
      </c>
      <c r="D1913" s="22" t="s">
        <v>4585</v>
      </c>
      <c r="E1913" s="22" t="s">
        <v>24</v>
      </c>
      <c r="F1913" s="22" t="s">
        <v>955</v>
      </c>
      <c r="G1913" s="23">
        <v>33302</v>
      </c>
      <c r="H1913" s="22" t="s">
        <v>438</v>
      </c>
      <c r="I1913" s="22" t="s">
        <v>26</v>
      </c>
      <c r="J1913" s="22" t="s">
        <v>27</v>
      </c>
      <c r="K1913" s="10" t="str">
        <f ca="1">DATEDIF('DATA PENDUDUK'!$G1913,TODAY(),"Y")&amp; " TAHUN"</f>
        <v>34 TAHUN</v>
      </c>
      <c r="L1913" s="24" t="s">
        <v>4471</v>
      </c>
    </row>
    <row r="1914" spans="1:12" ht="20.100000000000001" customHeight="1" x14ac:dyDescent="0.25">
      <c r="A1914" s="8">
        <f t="shared" si="29"/>
        <v>1911</v>
      </c>
      <c r="B1914" s="21" t="s">
        <v>4581</v>
      </c>
      <c r="C1914" s="21" t="s">
        <v>4586</v>
      </c>
      <c r="D1914" s="22" t="s">
        <v>4587</v>
      </c>
      <c r="E1914" s="22" t="s">
        <v>671</v>
      </c>
      <c r="F1914" s="22" t="s">
        <v>30</v>
      </c>
      <c r="G1914" s="23">
        <v>39878</v>
      </c>
      <c r="H1914" s="22" t="s">
        <v>438</v>
      </c>
      <c r="I1914" s="22" t="s">
        <v>31</v>
      </c>
      <c r="J1914" s="22" t="s">
        <v>32</v>
      </c>
      <c r="K1914" s="10" t="str">
        <f ca="1">DATEDIF('DATA PENDUDUK'!$G1914,TODAY(),"Y")&amp; " TAHUN"</f>
        <v>16 TAHUN</v>
      </c>
      <c r="L1914" s="24" t="s">
        <v>4471</v>
      </c>
    </row>
    <row r="1915" spans="1:12" ht="20.100000000000001" customHeight="1" x14ac:dyDescent="0.25">
      <c r="A1915" s="8">
        <f t="shared" si="29"/>
        <v>1912</v>
      </c>
      <c r="B1915" s="21" t="s">
        <v>4581</v>
      </c>
      <c r="C1915" s="21" t="s">
        <v>4588</v>
      </c>
      <c r="D1915" s="22" t="s">
        <v>4589</v>
      </c>
      <c r="E1915" s="22" t="s">
        <v>24</v>
      </c>
      <c r="F1915" s="22" t="s">
        <v>30</v>
      </c>
      <c r="G1915" s="23">
        <v>43530</v>
      </c>
      <c r="H1915" s="22" t="s">
        <v>438</v>
      </c>
      <c r="I1915" s="22" t="s">
        <v>40</v>
      </c>
      <c r="J1915" s="22" t="s">
        <v>32</v>
      </c>
      <c r="K1915" s="10" t="str">
        <f ca="1">DATEDIF('DATA PENDUDUK'!$G1915,TODAY(),"Y")&amp; " TAHUN"</f>
        <v>6 TAHUN</v>
      </c>
      <c r="L1915" s="24" t="s">
        <v>4471</v>
      </c>
    </row>
    <row r="1916" spans="1:12" ht="20.100000000000001" customHeight="1" x14ac:dyDescent="0.25">
      <c r="A1916" s="8">
        <f t="shared" si="29"/>
        <v>1913</v>
      </c>
      <c r="B1916" s="21" t="s">
        <v>4590</v>
      </c>
      <c r="C1916" s="21" t="s">
        <v>4591</v>
      </c>
      <c r="D1916" s="22" t="s">
        <v>4592</v>
      </c>
      <c r="E1916" s="22" t="s">
        <v>671</v>
      </c>
      <c r="F1916" s="22" t="s">
        <v>4593</v>
      </c>
      <c r="G1916" s="23">
        <v>37060</v>
      </c>
      <c r="H1916" s="22" t="s">
        <v>438</v>
      </c>
      <c r="I1916" s="22" t="s">
        <v>40</v>
      </c>
      <c r="J1916" s="22" t="s">
        <v>20</v>
      </c>
      <c r="K1916" s="10" t="str">
        <f ca="1">DATEDIF('DATA PENDUDUK'!$G1916,TODAY(),"Y")&amp; " TAHUN"</f>
        <v>24 TAHUN</v>
      </c>
      <c r="L1916" s="24" t="s">
        <v>4471</v>
      </c>
    </row>
    <row r="1917" spans="1:12" ht="20.100000000000001" customHeight="1" x14ac:dyDescent="0.25">
      <c r="A1917" s="8">
        <f t="shared" si="29"/>
        <v>1914</v>
      </c>
      <c r="B1917" s="21" t="s">
        <v>4594</v>
      </c>
      <c r="C1917" s="21" t="s">
        <v>4595</v>
      </c>
      <c r="D1917" s="22" t="s">
        <v>4596</v>
      </c>
      <c r="E1917" s="22" t="s">
        <v>24</v>
      </c>
      <c r="F1917" s="22" t="s">
        <v>955</v>
      </c>
      <c r="G1917" s="23">
        <v>34330</v>
      </c>
      <c r="H1917" s="22" t="s">
        <v>438</v>
      </c>
      <c r="I1917" s="22" t="s">
        <v>36</v>
      </c>
      <c r="J1917" s="22" t="s">
        <v>20</v>
      </c>
      <c r="K1917" s="10" t="str">
        <f ca="1">DATEDIF('DATA PENDUDUK'!$G1917,TODAY(),"Y")&amp; " TAHUN"</f>
        <v>31 TAHUN</v>
      </c>
      <c r="L1917" s="24" t="s">
        <v>4471</v>
      </c>
    </row>
    <row r="1918" spans="1:12" ht="20.100000000000001" customHeight="1" x14ac:dyDescent="0.25">
      <c r="A1918" s="8">
        <f t="shared" si="29"/>
        <v>1915</v>
      </c>
      <c r="B1918" s="21" t="s">
        <v>4594</v>
      </c>
      <c r="C1918" s="21" t="s">
        <v>4474</v>
      </c>
      <c r="D1918" s="22" t="s">
        <v>4597</v>
      </c>
      <c r="E1918" s="22" t="s">
        <v>24</v>
      </c>
      <c r="F1918" s="22" t="s">
        <v>30</v>
      </c>
      <c r="G1918" s="23">
        <v>42585</v>
      </c>
      <c r="H1918" s="22" t="s">
        <v>438</v>
      </c>
      <c r="I1918" s="22" t="s">
        <v>31</v>
      </c>
      <c r="J1918" s="22" t="s">
        <v>32</v>
      </c>
      <c r="K1918" s="10" t="str">
        <f ca="1">DATEDIF('DATA PENDUDUK'!$G1918,TODAY(),"Y")&amp; " TAHUN"</f>
        <v>8 TAHUN</v>
      </c>
      <c r="L1918" s="24" t="s">
        <v>4471</v>
      </c>
    </row>
    <row r="1919" spans="1:12" ht="20.100000000000001" customHeight="1" x14ac:dyDescent="0.25">
      <c r="A1919" s="8">
        <f t="shared" si="29"/>
        <v>1916</v>
      </c>
      <c r="B1919" s="21" t="s">
        <v>4594</v>
      </c>
      <c r="C1919" s="21" t="s">
        <v>4478</v>
      </c>
      <c r="D1919" s="22" t="s">
        <v>4598</v>
      </c>
      <c r="E1919" s="22" t="s">
        <v>24</v>
      </c>
      <c r="F1919" s="22" t="s">
        <v>30</v>
      </c>
      <c r="G1919" s="23">
        <v>43606</v>
      </c>
      <c r="H1919" s="22" t="s">
        <v>438</v>
      </c>
      <c r="I1919" s="22" t="s">
        <v>40</v>
      </c>
      <c r="J1919" s="22" t="s">
        <v>32</v>
      </c>
      <c r="K1919" s="10" t="str">
        <f ca="1">DATEDIF('DATA PENDUDUK'!$G1919,TODAY(),"Y")&amp; " TAHUN"</f>
        <v>6 TAHUN</v>
      </c>
      <c r="L1919" s="24" t="s">
        <v>4471</v>
      </c>
    </row>
    <row r="1920" spans="1:12" ht="20.100000000000001" customHeight="1" x14ac:dyDescent="0.25">
      <c r="A1920" s="8">
        <f t="shared" si="29"/>
        <v>1917</v>
      </c>
      <c r="B1920" s="21" t="s">
        <v>4594</v>
      </c>
      <c r="C1920" s="21" t="s">
        <v>4480</v>
      </c>
      <c r="D1920" s="22" t="s">
        <v>4599</v>
      </c>
      <c r="E1920" s="22" t="s">
        <v>24</v>
      </c>
      <c r="F1920" s="22" t="s">
        <v>30</v>
      </c>
      <c r="G1920" s="23">
        <v>43606</v>
      </c>
      <c r="H1920" s="22" t="s">
        <v>438</v>
      </c>
      <c r="I1920" s="22" t="s">
        <v>40</v>
      </c>
      <c r="J1920" s="22" t="s">
        <v>32</v>
      </c>
      <c r="K1920" s="10" t="str">
        <f ca="1">DATEDIF('DATA PENDUDUK'!$G1920,TODAY(),"Y")&amp; " TAHUN"</f>
        <v>6 TAHUN</v>
      </c>
      <c r="L1920" s="24" t="s">
        <v>4471</v>
      </c>
    </row>
    <row r="1921" spans="1:12" ht="20.100000000000001" customHeight="1" x14ac:dyDescent="0.25">
      <c r="A1921" s="8">
        <f t="shared" si="29"/>
        <v>1918</v>
      </c>
      <c r="B1921" s="21" t="s">
        <v>4600</v>
      </c>
      <c r="C1921" s="21" t="s">
        <v>4601</v>
      </c>
      <c r="D1921" s="22" t="s">
        <v>4602</v>
      </c>
      <c r="E1921" s="22" t="s">
        <v>671</v>
      </c>
      <c r="F1921" s="22" t="s">
        <v>1212</v>
      </c>
      <c r="G1921" s="23">
        <v>27609</v>
      </c>
      <c r="H1921" s="22" t="s">
        <v>438</v>
      </c>
      <c r="I1921" s="22" t="s">
        <v>36</v>
      </c>
      <c r="J1921" s="22" t="s">
        <v>20</v>
      </c>
      <c r="K1921" s="10" t="str">
        <f ca="1">DATEDIF('DATA PENDUDUK'!$G1921,TODAY(),"Y")&amp; " TAHUN"</f>
        <v>49 TAHUN</v>
      </c>
      <c r="L1921" s="24" t="s">
        <v>4471</v>
      </c>
    </row>
    <row r="1922" spans="1:12" ht="20.100000000000001" customHeight="1" x14ac:dyDescent="0.25">
      <c r="A1922" s="8">
        <f t="shared" si="29"/>
        <v>1919</v>
      </c>
      <c r="B1922" s="21" t="s">
        <v>4600</v>
      </c>
      <c r="C1922" s="21" t="s">
        <v>4603</v>
      </c>
      <c r="D1922" s="22" t="s">
        <v>4604</v>
      </c>
      <c r="E1922" s="22" t="s">
        <v>24</v>
      </c>
      <c r="F1922" s="22" t="s">
        <v>1212</v>
      </c>
      <c r="G1922" s="23">
        <v>29905</v>
      </c>
      <c r="H1922" s="22" t="s">
        <v>438</v>
      </c>
      <c r="I1922" s="22" t="s">
        <v>26</v>
      </c>
      <c r="J1922" s="22" t="s">
        <v>27</v>
      </c>
      <c r="K1922" s="10" t="str">
        <f ca="1">DATEDIF('DATA PENDUDUK'!$G1922,TODAY(),"Y")&amp; " TAHUN"</f>
        <v>43 TAHUN</v>
      </c>
      <c r="L1922" s="24" t="s">
        <v>4471</v>
      </c>
    </row>
    <row r="1923" spans="1:12" ht="20.100000000000001" customHeight="1" x14ac:dyDescent="0.25">
      <c r="A1923" s="8">
        <f t="shared" si="29"/>
        <v>1920</v>
      </c>
      <c r="B1923" s="21" t="s">
        <v>4600</v>
      </c>
      <c r="C1923" s="21" t="s">
        <v>4605</v>
      </c>
      <c r="D1923" s="22" t="s">
        <v>4606</v>
      </c>
      <c r="E1923" s="22" t="s">
        <v>671</v>
      </c>
      <c r="F1923" s="22" t="s">
        <v>376</v>
      </c>
      <c r="G1923" s="23">
        <v>33089</v>
      </c>
      <c r="H1923" s="26" t="s">
        <v>438</v>
      </c>
      <c r="I1923" s="22" t="s">
        <v>36</v>
      </c>
      <c r="J1923" s="22" t="s">
        <v>32</v>
      </c>
      <c r="K1923" s="10" t="str">
        <f ca="1">DATEDIF('DATA PENDUDUK'!$G1923,TODAY(),"Y")&amp; " TAHUN"</f>
        <v>34 TAHUN</v>
      </c>
      <c r="L1923" s="24" t="s">
        <v>4471</v>
      </c>
    </row>
    <row r="1924" spans="1:12" ht="20.100000000000001" customHeight="1" x14ac:dyDescent="0.25">
      <c r="A1924" s="8">
        <f t="shared" si="29"/>
        <v>1921</v>
      </c>
      <c r="B1924" s="21" t="s">
        <v>4600</v>
      </c>
      <c r="C1924" s="21" t="s">
        <v>4607</v>
      </c>
      <c r="D1924" s="22" t="s">
        <v>4608</v>
      </c>
      <c r="E1924" s="22" t="s">
        <v>671</v>
      </c>
      <c r="F1924" s="22" t="s">
        <v>955</v>
      </c>
      <c r="G1924" s="23">
        <v>33760</v>
      </c>
      <c r="H1924" s="22" t="s">
        <v>438</v>
      </c>
      <c r="I1924" s="22" t="s">
        <v>40</v>
      </c>
      <c r="J1924" s="22" t="s">
        <v>32</v>
      </c>
      <c r="K1924" s="10" t="str">
        <f ca="1">DATEDIF('DATA PENDUDUK'!$G1924,TODAY(),"Y")&amp; " TAHUN"</f>
        <v>33 TAHUN</v>
      </c>
      <c r="L1924" s="24" t="s">
        <v>4471</v>
      </c>
    </row>
    <row r="1925" spans="1:12" ht="20.100000000000001" customHeight="1" x14ac:dyDescent="0.25">
      <c r="A1925" s="8">
        <f t="shared" si="29"/>
        <v>1922</v>
      </c>
      <c r="B1925" s="21" t="s">
        <v>4600</v>
      </c>
      <c r="C1925" s="21" t="s">
        <v>4609</v>
      </c>
      <c r="D1925" s="22" t="s">
        <v>4610</v>
      </c>
      <c r="E1925" s="22" t="s">
        <v>671</v>
      </c>
      <c r="F1925" s="22" t="s">
        <v>1212</v>
      </c>
      <c r="G1925" s="23">
        <v>34036</v>
      </c>
      <c r="H1925" s="22" t="s">
        <v>438</v>
      </c>
      <c r="I1925" s="22" t="s">
        <v>40</v>
      </c>
      <c r="J1925" s="22" t="s">
        <v>32</v>
      </c>
      <c r="K1925" s="10" t="str">
        <f ca="1">DATEDIF('DATA PENDUDUK'!$G1925,TODAY(),"Y")&amp; " TAHUN"</f>
        <v>32 TAHUN</v>
      </c>
      <c r="L1925" s="24" t="s">
        <v>4471</v>
      </c>
    </row>
    <row r="1926" spans="1:12" ht="20.100000000000001" customHeight="1" x14ac:dyDescent="0.25">
      <c r="A1926" s="8">
        <f t="shared" ref="A1926:A1929" si="30">IF(D1926="","",ROW()-3)</f>
        <v>1923</v>
      </c>
      <c r="B1926" s="21" t="s">
        <v>4600</v>
      </c>
      <c r="C1926" s="21" t="s">
        <v>4611</v>
      </c>
      <c r="D1926" s="22" t="s">
        <v>4612</v>
      </c>
      <c r="E1926" s="22" t="s">
        <v>671</v>
      </c>
      <c r="F1926" s="22" t="s">
        <v>1212</v>
      </c>
      <c r="G1926" s="23">
        <v>34715</v>
      </c>
      <c r="H1926" s="22" t="s">
        <v>438</v>
      </c>
      <c r="I1926" s="22" t="s">
        <v>19</v>
      </c>
      <c r="J1926" s="22" t="s">
        <v>32</v>
      </c>
      <c r="K1926" s="10" t="str">
        <f ca="1">DATEDIF('DATA PENDUDUK'!$G1926,TODAY(),"Y")&amp; " TAHUN"</f>
        <v>30 TAHUN</v>
      </c>
      <c r="L1926" s="24" t="s">
        <v>4471</v>
      </c>
    </row>
    <row r="1927" spans="1:12" ht="20.100000000000001" customHeight="1" x14ac:dyDescent="0.25">
      <c r="A1927" s="8">
        <f t="shared" si="30"/>
        <v>1924</v>
      </c>
      <c r="B1927" s="21" t="s">
        <v>4600</v>
      </c>
      <c r="C1927" s="21" t="s">
        <v>4613</v>
      </c>
      <c r="D1927" s="22" t="s">
        <v>4614</v>
      </c>
      <c r="E1927" s="22" t="s">
        <v>24</v>
      </c>
      <c r="F1927" s="22" t="s">
        <v>1212</v>
      </c>
      <c r="G1927" s="23">
        <v>36741</v>
      </c>
      <c r="H1927" s="22" t="s">
        <v>438</v>
      </c>
      <c r="I1927" s="22" t="s">
        <v>40</v>
      </c>
      <c r="J1927" s="22" t="s">
        <v>32</v>
      </c>
      <c r="K1927" s="10" t="str">
        <f ca="1">DATEDIF('DATA PENDUDUK'!$G1927,TODAY(),"Y")&amp; " TAHUN"</f>
        <v>24 TAHUN</v>
      </c>
      <c r="L1927" s="24" t="s">
        <v>4471</v>
      </c>
    </row>
    <row r="1928" spans="1:12" ht="20.100000000000001" customHeight="1" x14ac:dyDescent="0.25">
      <c r="A1928" s="8">
        <f t="shared" si="30"/>
        <v>1925</v>
      </c>
      <c r="B1928" s="21" t="s">
        <v>4600</v>
      </c>
      <c r="C1928" s="21" t="s">
        <v>4615</v>
      </c>
      <c r="D1928" s="22" t="s">
        <v>4616</v>
      </c>
      <c r="E1928" s="22" t="s">
        <v>24</v>
      </c>
      <c r="F1928" s="22" t="s">
        <v>1212</v>
      </c>
      <c r="G1928" s="23">
        <v>38357</v>
      </c>
      <c r="H1928" s="22" t="s">
        <v>438</v>
      </c>
      <c r="I1928" s="22" t="s">
        <v>40</v>
      </c>
      <c r="J1928" s="22" t="s">
        <v>32</v>
      </c>
      <c r="K1928" s="10" t="str">
        <f ca="1">DATEDIF('DATA PENDUDUK'!$G1928,TODAY(),"Y")&amp; " TAHUN"</f>
        <v>20 TAHUN</v>
      </c>
      <c r="L1928" s="24" t="s">
        <v>4471</v>
      </c>
    </row>
    <row r="1929" spans="1:12" ht="20.100000000000001" customHeight="1" x14ac:dyDescent="0.25">
      <c r="A1929" s="8">
        <f t="shared" si="30"/>
        <v>1926</v>
      </c>
      <c r="B1929" s="21" t="s">
        <v>4600</v>
      </c>
      <c r="C1929" s="21" t="s">
        <v>4617</v>
      </c>
      <c r="D1929" s="22" t="s">
        <v>4618</v>
      </c>
      <c r="E1929" s="22" t="s">
        <v>671</v>
      </c>
      <c r="F1929" s="22" t="s">
        <v>376</v>
      </c>
      <c r="G1929" s="23">
        <v>38779</v>
      </c>
      <c r="H1929" s="22" t="s">
        <v>438</v>
      </c>
      <c r="I1929" s="22" t="s">
        <v>40</v>
      </c>
      <c r="J1929" s="22" t="s">
        <v>32</v>
      </c>
      <c r="K1929" s="10" t="str">
        <f ca="1">DATEDIF('DATA PENDUDUK'!$G1929,TODAY(),"Y")&amp; " TAHUN"</f>
        <v>19 TAHUN</v>
      </c>
      <c r="L1929" s="24" t="s">
        <v>4471</v>
      </c>
    </row>
  </sheetData>
  <mergeCells count="1">
    <mergeCell ref="A1:L1"/>
  </mergeCells>
  <pageMargins left="0.7" right="0.7" top="0.75" bottom="0.75" header="0.3" footer="0.3"/>
  <pageSetup paperSize="9" orientation="portrait"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PENDUDUK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2025-07-24T03:03:15Z</dcterms:created>
  <dcterms:modified xsi:type="dcterms:W3CDTF">2025-07-24T03:03:49Z</dcterms:modified>
</cp:coreProperties>
</file>